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1.xml" ContentType="application/vnd.openxmlformats-officedocument.themeOverrid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2.xml" ContentType="application/vnd.openxmlformats-officedocument.themeOverrid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3.xml" ContentType="application/vnd.openxmlformats-officedocument.themeOverrid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heme/themeOverride4.xml" ContentType="application/vnd.openxmlformats-officedocument.themeOverrid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heme/themeOverride5.xml" ContentType="application/vnd.openxmlformats-officedocument.themeOverrid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heme/themeOverride6.xml" ContentType="application/vnd.openxmlformats-officedocument.themeOverrid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heme/themeOverride7.xml" ContentType="application/vnd.openxmlformats-officedocument.themeOverrid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heme/themeOverride8.xml" ContentType="application/vnd.openxmlformats-officedocument.themeOverrid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heme/themeOverride9.xml" ContentType="application/vnd.openxmlformats-officedocument.themeOverride+xml"/>
  <Override PartName="/xl/drawings/drawing2.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Manuel\Desktop\GRISERI\"/>
    </mc:Choice>
  </mc:AlternateContent>
  <xr:revisionPtr revIDLastSave="0" documentId="13_ncr:1_{7B4576F6-A0C1-4312-A7B7-F63D43A7281A}" xr6:coauthVersionLast="47" xr6:coauthVersionMax="47" xr10:uidLastSave="{00000000-0000-0000-0000-000000000000}"/>
  <bookViews>
    <workbookView xWindow="-98" yWindow="-98" windowWidth="19396" windowHeight="11475" xr2:uid="{5BDBD006-7D7A-417E-B100-71B3220D6907}"/>
  </bookViews>
  <sheets>
    <sheet name="Opt" sheetId="1" r:id="rId1"/>
    <sheet name="Val" sheetId="6" r:id="rId2"/>
    <sheet name="Delta" sheetId="4" r:id="rId3"/>
    <sheet name="Bond" sheetId="5" r:id="rId4"/>
    <sheet name="VolLoc" sheetId="7" r:id="rId5"/>
  </sheets>
  <functionGroups builtInGroupCount="19"/>
  <definedNames>
    <definedName name="_xleta.COVARIANCE.S" hidden="1" xlm="1">#NAME?</definedName>
    <definedName name="_xleta.DELTA" hidden="1" xlm="1">#NAME?</definedName>
    <definedName name="_xleta.N" hidden="1" xlm="1">#NAME?</definedName>
    <definedName name="_xleta.OR" hidden="1" xlm="1">#NAME?</definedName>
    <definedName name="_xleta.T" hidden="1" xlm="1">#NAME?</definedName>
    <definedName name="_xleta.VAR" hidden="1" xlm="1">#NAME?</definedName>
    <definedName name="D10Series">CHOOSE(   MATCH(VolLoc!$B$3,         {"Vanilla Call","Vanilla Put","Digital Call","Digital Put","Double-Digital","Bull Spread","Bear Spread","Strangle","Butterfly"},0),   VolLoc!$AH$24:$AR$24,   VolLoc!$AI$36:$AS$36,   VolLoc!$BG$36:$BQ$36,   VolLoc!$CE$36:$CO$36,   VolLoc!$DC$36:$DM$36,   VolLoc!$EA$36:$EK$36,   VolLoc!$EY$36:$FI$36,   VolLoc!$FW$36:$GG$36,   VolLoc!$GU$36:$HE$36)</definedName>
    <definedName name="D11Series">CHOOSE(   MATCH(VolLoc!$B$3,         {"Vanilla Call","Vanilla Put","Digital Call","Digital Put","Double-Digital","Bull Spread","Bear Spread","Strangle","Butterfly"},0),   VolLoc!$AH$25:$AR$25,   VolLoc!$AI$37:$AS$37,   VolLoc!$BG$37:$BQ$37,   VolLoc!$CE$37:$CO$37,   VolLoc!$DC$37:$DM$37,   VolLoc!$EA$37:$EK$37,   VolLoc!$EY$37:$FI$37,   VolLoc!$FW$37:$GG$37,   VolLoc!$GU$37:$HE$37)</definedName>
    <definedName name="D1Series">CHOOSE(   MATCH(VolLoc!$B$3,         {"Vanilla Call","Vanilla Put","Digital Call","Digital Put","Double-Digital","Bull Spread","Bear Spread","Strangle","Butterfly"},0),   VolLoc!$AH$15:$AR$15,   VolLoc!$AI$27:$AS$27,   VolLoc!$BG$27:$BQ$27,   VolLoc!$CE$27:$CO$27,   VolLoc!$DC$27:$DM$27,   VolLoc!$EA$27:$EK$27,   VolLoc!$EY$27:$FI$27,   VolLoc!$FW$27:$GG$27,   VolLoc!$GU$27:$HE$27)</definedName>
    <definedName name="D2Series">CHOOSE(   MATCH(VolLoc!$B$3,         {"Vanilla Call","Vanilla Put","Digital Call","Digital Put","Double-Digital","Bull Spread","Bear Spread","Strangle","Butterfly"},0),   VolLoc!$AH$16:$AR$16,   VolLoc!$AI$28:$AS$28,   VolLoc!$BG$28:$BQ$28,   VolLoc!$CE$28:$CO$28,   VolLoc!$DC$28:$DM$28,   VolLoc!$EA$28:$EK$28,   VolLoc!$EY$28:$FI$28,   VolLoc!$FW$28:$GG$28,   VolLoc!$GU$28:$HE$28)</definedName>
    <definedName name="D3Series">CHOOSE(   MATCH(VolLoc!$B$3,         {"Vanilla Call","Vanilla Put","Digital Call","Digital Put","Double-Digital","Bull Spread","Bear Spread","Strangle","Butterfly"},0),   VolLoc!$AH$17:$AR$17,   VolLoc!$AI$29:$AS$29,   VolLoc!$BG$29:$BQ$29,   VolLoc!$CE$29:$CO$29,   VolLoc!$DC$29:$DM$29,   VolLoc!$EA$29:$EK$29,   VolLoc!$EY$29:$FI$29,   VolLoc!$FW$29:$GG$29,   VolLoc!$GU$29:$HE$29)</definedName>
    <definedName name="D4Series">CHOOSE(   MATCH(VolLoc!$B$3,         {"Vanilla Call","Vanilla Put","Digital Call","Digital Put","Double-Digital","Bull Spread","Bear Spread","Strangle","Butterfly"},0),   VolLoc!$AH$18:$AR$18,   VolLoc!$AI$30:$AS$30,   VolLoc!$BG$30:$BQ$30,   VolLoc!$CE$30:$CO$30,   VolLoc!$DC$30:$DM$30,   VolLoc!$EA$30:$EK$30,   VolLoc!$EY$30:$FI$30,   VolLoc!$FW$30:$GG$30,   VolLoc!$GU$30:$HE$30)</definedName>
    <definedName name="D5Series">CHOOSE(   MATCH(VolLoc!$B$3,         {"Vanilla Call","Vanilla Put","Digital Call","Digital Put","Double-Digital","Bull Spread","Bear Spread","Strangle","Butterfly"},0),   VolLoc!$AH$19:$AR$19,   VolLoc!$AI$31:$AS$31,   VolLoc!$BG$31:$BQ$31,   VolLoc!$CE$31:$CO$31,   VolLoc!$DC$31:$DM$31,   VolLoc!$EA$31:$EK$31,   VolLoc!$EY$31:$FI$31,   VolLoc!$FW$31:$GG$31,   VolLoc!$GU$31:$HE$31)</definedName>
    <definedName name="D6Series">CHOOSE(   MATCH(VolLoc!$B$3,         {"Vanilla Call","Vanilla Put","Digital Call","Digital Put","Double-Digital","Bull Spread","Bear Spread","Strangle","Butterfly"},0),   VolLoc!$AH$20:$AR$20,   VolLoc!$AI$32:$AS$32,   VolLoc!$BG$32:$BQ$32,   VolLoc!$CE$32:$CO$32,   VolLoc!$DC$32:$DM$32,   VolLoc!$EA$32:$EK$32,   VolLoc!$EY$32:$FI$32,   VolLoc!$FW$32:$GG$32,   VolLoc!$GU$32:$HE$32)</definedName>
    <definedName name="D7Series">CHOOSE(   MATCH(VolLoc!$B$3,         {"Vanilla Call","Vanilla Put","Digital Call","Digital Put","Double-Digital","Bull Spread","Bear Spread","Strangle","Butterfly"},0),   VolLoc!$AH$21:$AR$21,   VolLoc!$AI$33:$AS$33,   VolLoc!$BG$33:$BQ$33,   VolLoc!$CE$33:$CO$33,   VolLoc!$DC$33:$DM$33,   VolLoc!$EA$33:$EK$33,   VolLoc!$EY$33:$FI$33,   VolLoc!$FW$33:$GG$33,   VolLoc!$GU$33:$HE$33)</definedName>
    <definedName name="D8Series">CHOOSE(   MATCH(VolLoc!$B$3,         {"Vanilla Call","Vanilla Put","Digital Call","Digital Put","Double-Digital","Bull Spread","Bear Spread","Strangle","Butterfly"},0),   VolLoc!$AH$22:$AR$22,   VolLoc!$AI$34:$AS$34,   VolLoc!$BG$34:$BQ$34,   VolLoc!$CE$34:$CO$34,   VolLoc!$DC$34:$DM$34,   VolLoc!$EA$34:$EK$34,   VolLoc!$EY$34:$FI$34,   VolLoc!$FW$34:$GG$34,   VolLoc!$GU$34:$HE$34)</definedName>
    <definedName name="D9Series">CHOOSE(   MATCH(VolLoc!$B$3,         {"Vanilla Call","Vanilla Put","Digital Call","Digital Put","Double-Digital","Bull Spread","Bear Spread","Strangle","Butterfly"},0),   VolLoc!$AH$23:$AR$23,   VolLoc!$AI$35:$AS$35,   VolLoc!$BG$35:$BQ$35,   VolLoc!$CE$35:$CO$35,   VolLoc!$DC$35:$DM$35,   VolLoc!$EA$35:$EK$35,   VolLoc!$EY$35:$FI$35,   VolLoc!$FW$35:$GG$35,   VolLoc!$GU$35:$HE$35)</definedName>
    <definedName name="P10Series">CHOOSE(   MATCH(VolLoc!$B$3,         {"Vanilla Call","Vanilla Put","Digital Call","Digital Put","Double-Digital","Bull Spread","Bear Spread","Strangle","Butterfly"},0),   VolLoc!$R$24:$AB$24,   VolLoc!$W$36:$AG$36,   VolLoc!$AU$36:$BE$36,   VolLoc!$BS$36:$CC$36,   VolLoc!$CQ$36:$DA$36,   VolLoc!$DO$36:$DY$36,   VolLoc!$EM$36:$EW$36,   VolLoc!$FK$36:$FU$36,   VolLoc!$GI$36:$GS$36)</definedName>
    <definedName name="P11Series">CHOOSE(   MATCH(VolLoc!$B$3,         {"Vanilla Call","Vanilla Put","Digital Call","Digital Put","Double-Digital","Bull Spread","Bear Spread","Strangle","Butterfly"},0),   VolLoc!$R$25:$AB$25,   VolLoc!$W$37:$AG$37,   VolLoc!$AU$37:$BE$37,   VolLoc!$BS$37:$CC$37,   VolLoc!$CQ$37:$DA$37,   VolLoc!$DO$37:$DY$37,   VolLoc!$EM$37:$EW$37,   VolLoc!$FK$37:$FU$37,   VolLoc!$GI$37:$GS$37)</definedName>
    <definedName name="P1Series">CHOOSE(   MATCH(VolLoc!$B$3,         {"Vanilla Call","Vanilla Put","Digital Call","Digital Put","Double-Digital","Bull Spread","Bear Spread","Strangle","Butterfly"},0),   VolLoc!$R$15:$AB$15,   VolLoc!$W$27:$AG$27,   VolLoc!$AU$27:$BE$27,   VolLoc!$BS$27:$CC$27,   VolLoc!$CQ$27:$DA$27,   VolLoc!$DO$27:$DY$27,   VolLoc!$EM$27:$EW$27,   VolLoc!$FK$27:$FU$27,   VolLoc!$GI$27:$GS$27)</definedName>
    <definedName name="P2Series">CHOOSE(   MATCH(VolLoc!$B$3,         {"Vanilla Call","Vanilla Put","Digital Call","Digital Put","Double-Digital","Bull Spread","Bear Spread","Strangle","Butterfly"},0),   VolLoc!$R$16:$AB$16,   VolLoc!$W$28:$AG$28,   VolLoc!$AU$28:$BE$28,   VolLoc!$BS$28:$CC$28,   VolLoc!$CQ$28:$DA$28,   VolLoc!$DO$28:$DY$28,   VolLoc!$EM$28:$EW$28,   VolLoc!$FK$28:$FU$28,   VolLoc!$GI$28:$GS$28)</definedName>
    <definedName name="P3Series">CHOOSE(   MATCH(VolLoc!$B$3,         {"Vanilla Call","Vanilla Put","Digital Call","Digital Put","Double-Digital","Bull Spread","Bear Spread","Strangle","Butterfly"},0),   VolLoc!$R$17:$AB$17,   VolLoc!$W$29:$AG$29,   VolLoc!$AU$29:$BE$29,   VolLoc!$BS$29:$CC$29,   VolLoc!$CQ$29:$DA$29,   VolLoc!$DO$29:$DY$29,   VolLoc!$EM$29:$EW$29,   VolLoc!$FK$29:$FU$29,   VolLoc!$GI$29:$GS$29)</definedName>
    <definedName name="P4Series">CHOOSE(   MATCH(VolLoc!$B$3,         {"Vanilla Call","Vanilla Put","Digital Call","Digital Put","Double-Digital","Bull Spread","Bear Spread","Strangle","Butterfly"},0),   VolLoc!$R$18:$AB$18,   VolLoc!$W$30:$AG$30,   VolLoc!$AU$30:$BE$30,   VolLoc!$BS$30:$CC$30,   VolLoc!$CQ$30:$DA$30,   VolLoc!$DO$30:$DY$30,   VolLoc!$EM$30:$EW$30,   VolLoc!$FK$30:$FU$30,   VolLoc!$GI$30:$GS$30)</definedName>
    <definedName name="P5Series">CHOOSE(   MATCH(VolLoc!$B$3,         {"Vanilla Call","Vanilla Put","Digital Call","Digital Put","Double-Digital","Bull Spread","Bear Spread","Strangle","Butterfly"},0),   VolLoc!$R$19:$AB$19,   VolLoc!$W$31:$AG$31,   VolLoc!$AU$31:$BE$31,   VolLoc!$BS$31:$CC$31,   VolLoc!$CQ$31:$DA$31,   VolLoc!$DO$31:$DY$31,   VolLoc!$EM$31:$EW$31,   VolLoc!$FK$31:$FU$31,   VolLoc!$GI$31:$GS$31)</definedName>
    <definedName name="P6Series">CHOOSE(   MATCH(VolLoc!$B$3,         {"Vanilla Call","Vanilla Put","Digital Call","Digital Put","Double-Digital","Bull Spread","Bear Spread","Strangle","Butterfly"},0),   VolLoc!$R$20:$AB$20,   VolLoc!$W$32:$AG$32,   VolLoc!$AU$32:$BE$32,   VolLoc!$BS$32:$CC$32,   VolLoc!$CQ$32:$DA$32,   VolLoc!$DO$32:$DY$32,   VolLoc!$EM$32:$EW$32,   VolLoc!$FK$32:$FU$32,   VolLoc!$GI$32:$GS$32)</definedName>
    <definedName name="P7Series">CHOOSE(   MATCH(VolLoc!$B$3,         {"Vanilla Call","Vanilla Put","Digital Call","Digital Put","Double-Digital","Bull Spread","Bear Spread","Strangle","Butterfly"},0),   VolLoc!$R$21:$AB$21,   VolLoc!$W$33:$AG$33,   VolLoc!$AU$33:$BE$33,   VolLoc!$BS$33:$CC$33,   VolLoc!$CQ$33:$DA$33,   VolLoc!$DO$33:$DY$33,   VolLoc!$EM$33:$EW$33,   VolLoc!$FK$33:$FU$33,   VolLoc!$GI$33:$GS$33)</definedName>
    <definedName name="P8Series">CHOOSE(   MATCH(VolLoc!$B$3,         {"Vanilla Call","Vanilla Put","Digital Call","Digital Put","Double-Digital","Bull Spread","Bear Spread","Strangle","Butterfly"},0),   VolLoc!$R$22:$AB$22,   VolLoc!$W$34:$AG$34,   VolLoc!$AU$34:$BE$34,   VolLoc!$BS$34:$CC$34,   VolLoc!$CQ$34:$DA$34,   VolLoc!$DO$34:$DY$34,   VolLoc!$EM$34:$EW$34,   VolLoc!$FK$34:$FU$34,   VolLoc!$GI$34:$GS$34)</definedName>
    <definedName name="P9Series">CHOOSE(   MATCH(VolLoc!$B$3,         {"Vanilla Call","Vanilla Put","Digital Call","Digital Put","Double-Digital","Bull Spread","Bear Spread","Strangle","Butterfly"},0),   VolLoc!$R$23:$AB$23,   VolLoc!$W$35:$AG$35,   VolLoc!$AU$35:$BE$35,   VolLoc!$BS$35:$CC$35,   VolLoc!$CQ$35:$DA$35,   VolLoc!$DO$35:$DY$35,   VolLoc!$EM$35:$EW$35,   VolLoc!$FK$35:$FU$35,   VolLoc!$GI$35:$GS$35)</definedName>
    <definedName name="VD10Series">CHOOSE(   MATCH(VolLoc!$B$40,         {"Vanilla Call","Vanilla Put","Digital Call","Digital Put","Double-Digital","Bull Spread","Bear Spread","Strangle","Butterfly"},0),   VolLoc!$AI$67:$AS$67,   VolLoc!$BG$67:$BQ$67,   VolLoc!$CE$67:$CO$67,   VolLoc!$DC$67:$DM$67,   VolLoc!$EA$67:$EK$67,   VolLoc!$EY$67:$FI$67,   VolLoc!$FW$67:$GG$67,   VolLoc!$GU$67:$HE$67,   VolLoc!$HS$67:$IC$67)</definedName>
    <definedName name="VD11Series">CHOOSE(   MATCH(VolLoc!$B$40,         {"Vanilla Call","Vanilla Put","Digital Call","Digital Put","Double-Digital","Bull Spread","Bear Spread","Strangle","Butterfly"},0),   VolLoc!$AI$68:$AS$68,   VolLoc!$BG$68:$BQ$68,   VolLoc!$CE$68:$CO$68,   VolLoc!$DC$68:$DM$68,   VolLoc!$EA$68:$EK$68,   VolLoc!$EY$68:$FI$68,   VolLoc!$FW$68:$GG$68,   VolLoc!$GU$68:$HE$68,   VolLoc!$HS$68:$IC$68)</definedName>
    <definedName name="VD1Series">CHOOSE(   MATCH(VolLoc!$B$40,         {"Vanilla Call","Vanilla Put","Digital Call","Digital Put","Double-Digital","Bull Spread","Bear Spread","Strangle","Butterfly"},0),   VolLoc!$AI$58:$AS$58,   VolLoc!$BG$58:$BQ$58,   VolLoc!$CE$58:$CO$58,   VolLoc!$DC$58:$DM$58,   VolLoc!$EA$58:$EK$58,   VolLoc!$EY$58:$FI$58,   VolLoc!$FW$58:$GG$58,   VolLoc!$GU$58:$HE$58,   VolLoc!$HS$58:$IC$58)</definedName>
    <definedName name="VD2Series">CHOOSE(   MATCH(VolLoc!$B$40,         {"Vanilla Call","Vanilla Put","Digital Call","Digital Put","Double-Digital","Bull Spread","Bear Spread","Strangle","Butterfly"},0),   VolLoc!$AI$59:$AS$59,   VolLoc!$BG$59:$BQ$59,   VolLoc!$CE$59:$CO$59,   VolLoc!$DC$59:$DM$59,   VolLoc!$EA$59:$EK$59,   VolLoc!$EY$59:$FI$59,   VolLoc!$FW$59:$GG$59,   VolLoc!$GU$59:$HE$59,   VolLoc!$HS$59:$IC$59)</definedName>
    <definedName name="VD3Series">CHOOSE(   MATCH(VolLoc!$B$40,         {"Vanilla Call","Vanilla Put","Digital Call","Digital Put","Double-Digital","Bull Spread","Bear Spread","Strangle","Butterfly"},0),   VolLoc!$AI$60:$AS$60,   VolLoc!$BG$60:$BQ$60,   VolLoc!$CE$60:$CO$60,   VolLoc!$DC$60:$DM$60,   VolLoc!$EA$60:$EK$60,   VolLoc!$EY$60:$FI$60,   VolLoc!$FW$60:$GG$60,   VolLoc!$GU$60:$HE$60,   VolLoc!$HS$60:$IC$60)</definedName>
    <definedName name="VD4Series">CHOOSE(   MATCH(VolLoc!$B$40,         {"Vanilla Call","Vanilla Put","Digital Call","Digital Put","Double-Digital","Bull Spread","Bear Spread","Strangle","Butterfly"},0),   VolLoc!$AI$61:$AS$61,   VolLoc!$BG$61:$BQ$61,   VolLoc!$CE$61:$CO$61,   VolLoc!$DC$61:$DM$61,   VolLoc!$EA$61:$EK$61,   VolLoc!$EY$61:$FI$61,   VolLoc!$FW$61:$GG$61,   VolLoc!$GU$61:$HE$61,   VolLoc!$HS$61:$IC$61)</definedName>
    <definedName name="VD5Series">CHOOSE(   MATCH(VolLoc!$B$40,         {"Vanilla Call","Vanilla Put","Digital Call","Digital Put","Double-Digital","Bull Spread","Bear Spread","Strangle","Butterfly"},0),   VolLoc!$AI$62:$AS$62,   VolLoc!$BG$62:$BQ$62,   VolLoc!$CE$62:$CO$62,   VolLoc!$DC$62:$DM$62,   VolLoc!$EA$62:$EK$62,   VolLoc!$EY$62:$FI$62,   VolLoc!$FW$62:$GG$62,   VolLoc!$GU$62:$HE$62,   VolLoc!$HS$62:$IC$62)</definedName>
    <definedName name="VD6Series">CHOOSE(   MATCH(VolLoc!$B$40,         {"Vanilla Call","Vanilla Put","Digital Call","Digital Put","Double-Digital","Bull Spread","Bear Spread","Strangle","Butterfly"},0),   VolLoc!$AI$63:$AS$63,   VolLoc!$BG$63:$BQ$63,   VolLoc!$CE$63:$CO$63,   VolLoc!$DC$63:$DM$63,   VolLoc!$EA$63:$EK$63,   VolLoc!$EY$63:$FI$63,   VolLoc!$FW$63:$GG$63,   VolLoc!$GU$63:$HE$63,   VolLoc!$HS$63:$IC$63)</definedName>
    <definedName name="VD7Series">CHOOSE(   MATCH(VolLoc!$B$40,         {"Vanilla Call","Vanilla Put","Digital Call","Digital Put","Double-Digital","Bull Spread","Bear Spread","Strangle","Butterfly"},0),   VolLoc!$AI$64:$AS$64,   VolLoc!$BG$64:$BQ$64,   VolLoc!$CE$64:$CO$64,   VolLoc!$DC$64:$DM$64,   VolLoc!$EA$64:$EK$64,   VolLoc!$EY$64:$FI$64,   VolLoc!$FW$64:$GG$64,   VolLoc!$GU$64:$HE$64,   VolLoc!$HS$64:$IC$64)</definedName>
    <definedName name="VD8Series">CHOOSE(   MATCH(VolLoc!$B$40,         {"Vanilla Call","Vanilla Put","Digital Call","Digital Put","Double-Digital","Bull Spread","Bear Spread","Strangle","Butterfly"},0),   VolLoc!$AI$65:$AS$65,   VolLoc!$BG$65:$BQ$65,   VolLoc!$CE$65:$CO$65,   VolLoc!$DC$65:$DM$65,   VolLoc!$EA$65:$EK$65,   VolLoc!$EY$65:$FI$65,   VolLoc!$FW$65:$GG$65,   VolLoc!$GU$65:$HE$65,   VolLoc!$HS$65:$IC$65)</definedName>
    <definedName name="VD9Series">CHOOSE(   MATCH(VolLoc!$B$40,         {"Vanilla Call","Vanilla Put","Digital Call","Digital Put","Double-Digital","Bull Spread","Bear Spread","Strangle","Butterfly"},0),   VolLoc!$AI$66:$AS$66,   VolLoc!$BG$66:$BQ$66,   VolLoc!$CE$66:$CO$66,   VolLoc!$DC$66:$DM$66,   VolLoc!$EA$66:$EK$66,   VolLoc!$EY$66:$FI$66,   VolLoc!$FW$66:$GG$66,   VolLoc!$GU$66:$HE$66,   VolLoc!$HS$66:$IC$66)</definedName>
    <definedName name="VP10Series">CHOOSE(   MATCH(VolLoc!$B$40,         {"Vanilla Call","Vanilla Put","Digital Call","Digital Put","Double-Digital","Bull Spread","Bear Spread","Strangle","Butterfly"},0),   VolLoc!$W$67:$AG$67,   VolLoc!$AU$67:$BE$67,   VolLoc!$BS$67:$CC$67,   VolLoc!$CQ$67:$DA$67,   VolLoc!$DO$67:$DY$67,   VolLoc!$EM$67:$EW$67,   VolLoc!$FK$67:$FU$67,   VolLoc!$GI$67:$GS$67,   VolLoc!$HG$67:$HQ$67)</definedName>
    <definedName name="VP11Series">CHOOSE(   MATCH(VolLoc!$B$40,         {"Vanilla Call","Vanilla Put","Digital Call","Digital Put","Double-Digital","Bull Spread","Bear Spread","Strangle","Butterfly"},0),   VolLoc!$W$68:$AG$68,   VolLoc!$AU$68:$BE$68,   VolLoc!$BS$68:$CC$68,   VolLoc!$CQ$68:$DA$68,   VolLoc!$DO$68:$DY$68,   VolLoc!$EM$68:$EW$68,   VolLoc!$FK$68:$FU$68,   VolLoc!$GI$68:$GS$68,   VolLoc!$HG$68:$HQ$68)</definedName>
    <definedName name="VP1Series">CHOOSE(   MATCH(VolLoc!$B$40,         {"Vanilla Call","Vanilla Put","Digital Call","Digital Put","Double-Digital","Bull Spread","Bear Spread","Strangle","Butterfly"},0),   VolLoc!$W$58:$AG$58,   VolLoc!$AU$58:$BE$58,   VolLoc!$BS$58:$CC$58,   VolLoc!$CQ$58:$DA$58,   VolLoc!$DO$58:$DY$58,   VolLoc!$EM$58:$EW$58,   VolLoc!$FK$58:$FU$58,   VolLoc!$GI$58:$GS$58,   VolLoc!$HG$58:$HQ$58)</definedName>
    <definedName name="VP2Series">CHOOSE(   MATCH(VolLoc!$B$40,         {"Vanilla Call","Vanilla Put","Digital Call","Digital Put","Double-Digital","Bull Spread","Bear Spread","Strangle","Butterfly"},0),   VolLoc!$W$59:$AG$59,   VolLoc!$AU$59:$BE$59,   VolLoc!$BS$59:$CC$59,   VolLoc!$CQ$59:$DA$59,   VolLoc!$DO$59:$DY$59,   VolLoc!$EM$59:$EW$59,   VolLoc!$FK$59:$FU$59,   VolLoc!$GI$59:$GS$59,   VolLoc!$HG$59:$HQ$59)</definedName>
    <definedName name="VP3Series">CHOOSE(   MATCH(VolLoc!$B$40,         {"Vanilla Call","Vanilla Put","Digital Call","Digital Put","Double-Digital","Bull Spread","Bear Spread","Strangle","Butterfly"},0),   VolLoc!$W$60:$AG$60,   VolLoc!$AU$60:$BE$60,   VolLoc!$BS$60:$CC$60,   VolLoc!$CQ$60:$DA$60,   VolLoc!$DO$60:$DY$60,   VolLoc!$EM$60:$EW$60,   VolLoc!$FK$60:$FU$60,   VolLoc!$GI$60:$GS$60,   VolLoc!$HG$60:$HQ$60)</definedName>
    <definedName name="VP4Series">CHOOSE(   MATCH(VolLoc!$B$40,         {"Vanilla Call","Vanilla Put","Digital Call","Digital Put","Double-Digital","Bull Spread","Bear Spread","Strangle","Butterfly"},0),   VolLoc!$W$61:$AG$61,   VolLoc!$AU$61:$BE$61,   VolLoc!$BS$61:$CC$61,   VolLoc!$CQ$61:$DA$61,   VolLoc!$DO$61:$DY$61,   VolLoc!$EM$61:$EW$61,   VolLoc!$FK$61:$FU$61,   VolLoc!$GI$61:$GS$61,   VolLoc!$HG$61:$HQ$61)</definedName>
    <definedName name="VP5Series">CHOOSE(   MATCH(VolLoc!$B$40,         {"Vanilla Call","Vanilla Put","Digital Call","Digital Put","Double-Digital","Bull Spread","Bear Spread","Strangle","Butterfly"},0),   VolLoc!$W$62:$AG$62,   VolLoc!$AU$62:$BE$62,   VolLoc!$BS$62:$CC$62,   VolLoc!$CQ$62:$DA$62,   VolLoc!$DO$62:$DY$62,   VolLoc!$EM$62:$EW$62,   VolLoc!$FK$62:$FU$62,   VolLoc!$GI$62:$GS$62,   VolLoc!$HG$62:$HQ$62)</definedName>
    <definedName name="VP6Series">CHOOSE(   MATCH(VolLoc!$B$40,         {"Vanilla Call","Vanilla Put","Digital Call","Digital Put","Double-Digital","Bull Spread","Bear Spread","Strangle","Butterfly"},0),   VolLoc!$W$63:$AG$63,   VolLoc!$AU$63:$BE$63,   VolLoc!$BS$63:$CC$63,   VolLoc!$CQ$63:$DA$63,   VolLoc!$DO$63:$DY$63,   VolLoc!$EM$63:$EW$63,   VolLoc!$FK$63:$FU$63,   VolLoc!$GI$63:$GS$63,   VolLoc!$HG$63:$HQ$63)</definedName>
    <definedName name="VP7Series">CHOOSE(   MATCH(VolLoc!$B$40,         {"Vanilla Call","Vanilla Put","Digital Call","Digital Put","Double-Digital","Bull Spread","Bear Spread","Strangle","Butterfly"},0),   VolLoc!$W$64:$AG$64,   VolLoc!$AU$64:$BE$64,   VolLoc!$BS$64:$CC$64,   VolLoc!$CQ$64:$DA$64,   VolLoc!$DO$64:$DY$64,   VolLoc!$EM$64:$EW$64,   VolLoc!$FK$64:$FU$64,   VolLoc!$GI$64:$GS$64,   VolLoc!$HG$64:$HQ$64)</definedName>
    <definedName name="VP8Series">CHOOSE(   MATCH(VolLoc!$B$40,         {"Vanilla Call","Vanilla Put","Digital Call","Digital Put","Double-Digital","Bull Spread","Bear Spread","Strangle","Butterfly"},0),   VolLoc!$W$65:$AG$65,   VolLoc!$AU$65:$BE$65,   VolLoc!$BS$65:$CC$65,   VolLoc!$CQ$65:$DA$65,   VolLoc!$DO$65:$DY$65,   VolLoc!$EM$65:$EW$65,   VolLoc!$FK$65:$FU$65,   VolLoc!$GI$65:$GS$65,   VolLoc!$HG$65:$HQ$65)</definedName>
    <definedName name="VP9Series">CHOOSE(   MATCH(VolLoc!$B$40,         {"Vanilla Call","Vanilla Put","Digital Call","Digital Put","Double-Digital","Bull Spread","Bear Spread","Strangle","Butterfly"},0),   VolLoc!$W$66:$AG$66,   VolLoc!$AU$66:$BE$66,   VolLoc!$BS$66:$CC$66,   VolLoc!$CQ$66:$DA$66,   VolLoc!$DO$66:$DY$66,   VolLoc!$EM$66:$EW$66,   VolLoc!$FK$66:$FU$66,   VolLoc!$GI$66:$GS$66,   VolLoc!$HG$66:$HQ$66)</definedName>
    <definedName name="XDconv">CHOOSE(   MATCH(Opt!$B$121,         {"Digital Call","Digital Put","Double-Digital","Bull Spread","Bear Spread","Strangle","Butterfly","Arithmetic Call","Arithmetic Put","Geometric Call","Geometric Put","Lookback Call","Lookback Put","American Call","American Put"},         0),   Opt!$D$184:$CX$184,   Opt!$D$184:$CX$184,   Opt!$D$184:$CX$184,   Opt!$D$184:$CX$184,   Opt!$D$184:$CX$184,   Opt!$D$184:$CX$184,   Opt!$D$184:$CX$184,   Opt!$D$184:$R$184,   Opt!$D$184:$R$184,   Opt!$D$184:$R$184,   Opt!$D$184:$R$184,   Opt!$D$184:$R$184,   Opt!$D$184:$R$184,   Opt!$D$184:$R$184,   Opt!$D$184:$R$184 )</definedName>
    <definedName name="XDcrr">CHOOSE(   MATCH(Opt!$B$121,         {"Digital Call","Digital Put","Double-Digital","Bull Spread","Bear Spread","Strangle","Butterfly","Arithmetic Call","Arithmetic Put","Geometric Call","Geometric Put","Lookback Call","Lookback Put","American Call","American Put"},         0),   Opt!$D$175:$CX$175,   Opt!$D$175:$CX$175,   Opt!$D$175:$CX$175,   Opt!$D$175:$CX$175,   Opt!$D$175:$CX$175,   Opt!$D$175:$CX$175,   Opt!$D$175:$CX$175,   Opt!$D$175:$R$175,   Opt!$D$175:$R$175,   Opt!$D$175:$R$175,   Opt!$D$175:$R$175,   Opt!$D$175:$R$175,   Opt!$D$175:$R$175,   Opt!$D$175:$R$175,   Opt!$D$175:$R$175 )</definedName>
    <definedName name="XDlim">CHOOSE(   MATCH(Opt!$B$121,         {"Digital Call","Digital Put","Double-Digital","Bull Spread","Bear Spread","Strangle","Butterfly","Arithmetic Call","Arithmetic Put","Geometric Call","Geometric Put","Lookback Call","Lookback Put","American Call","American Put"},         0),   (Opt!$D$175,Opt!$CX$175),   (Opt!$D$175,Opt!$CX$175),   (Opt!$D$175,Opt!$CX$175),   (Opt!$D$175,Opt!$CX$175),   (Opt!$D$175,Opt!$CX$175),   (Opt!$D$175,Opt!$CX$175),   (Opt!$D$175,Opt!$CX$175),   (Opt!$D$175,Opt!$R$175),   (Opt!$D$175,Opt!$R$175),   (Opt!$D$175,Opt!$R$175),   (Opt!$D$175,Opt!$R$175),   (Opt!$D$175,Opt!$R$175),   (Opt!$D$175,Opt!$R$175),   (Opt!$D$175,Opt!$R$175),   (Opt!$D$175,Opt!$R$175) )</definedName>
    <definedName name="XPconv">CHOOSE(   MATCH(Opt!$B$121,         {"Digital Call","Digital Put","Double-Digital","Bull Spread","Bear Spread","Strangle","Butterfly","Arithmetic Call","Arithmetic Put","Geometric Call","Geometric Put","Lookback Call","Lookback Put","American Call","American Put"},         0),   Opt!$D$184:$CX$184,   Opt!$D$184:$CX$184,   Opt!$D$184:$CX$184,   Opt!$D$184:$CX$184,   Opt!$D$184:$CX$184,   Opt!$D$184:$CX$184,   Opt!$D$184:$CX$184,   Opt!$D$184:$R$184,   Opt!$D$184:$R$184,   Opt!$D$184:$R$184,   Opt!$D$184:$R$184,   Opt!$D$184:$R$184,   Opt!$D$184:$R$184,   Opt!$D$184:$CX$184,   Opt!$D$184:$CX$184 )</definedName>
    <definedName name="XPcrr">CHOOSE(   MATCH(Opt!$B$121,         {"Digital Call","Digital Put","Double-Digital","Bull Spread","Bear Spread","Strangle","Butterfly","Arithmetic Call","Arithmetic Put","Geometric Call","Geometric Put","Lookback Call","Lookback Put","American Call","American Put"},         0),   Opt!$D$175:$CX$175,   Opt!$D$175:$CX$175,   Opt!$D$175:$CX$175,   Opt!$D$175:$CX$175,   Opt!$D$175:$CX$175,   Opt!$D$175:$CX$175,   Opt!$D$175:$CX$175,   Opt!$D$175:$R$175,   Opt!$D$175:$R$175,   Opt!$D$175:$R$175,   Opt!$D$175:$R$175,   Opt!$D$175:$R$175,   Opt!$D$175:$R$175,   Opt!$D$175:$CX$175,   Opt!$D$175:$CX$175 )</definedName>
    <definedName name="XPlim">CHOOSE(   MATCH(Opt!$B$121,         {"Digital Call","Digital Put","Double-Digital","Bull Spread","Bear Spread","Strangle","Butterfly","Arithmetic Call","Arithmetic Put","Geometric Call","Geometric Put","Lookback Call","Lookback Put","American Call","American Put"},         0),   (Opt!$D$175,Opt!$CX$175),   (Opt!$D$175,Opt!$CX$175),   (Opt!$D$175,Opt!$CX$175),   (Opt!$D$175,Opt!$CX$175),   (Opt!$D$175,Opt!$CX$175),   (Opt!$D$175,Opt!$CX$175),   (Opt!$D$175,Opt!$CX$175),   (Opt!$D$175,Opt!$R$175),   (Opt!$D$175,Opt!$R$175),   (Opt!$D$175,Opt!$R$175),   (Opt!$D$175,Opt!$R$175),   (Opt!$D$175,Opt!$R$175),   (Opt!$D$175,Opt!$R$175),   (Opt!$D$175,Opt!$CX$175),   (Opt!$D$175,Opt!$CX$175) )</definedName>
    <definedName name="YDconv">CHOOSE(   MATCH(Opt!$B$121,         {"Digital Call","Digital Put","Bull Spread","Bear Spread","Strangle","Butterfly","Geometric Call","Geometric Put","Double-Digital","Arithmetic Call","Arithmetic Put","Lookback Call","Lookback Put","American Call","American Put"},         0),   Opt!$D$231:$CX$231,   Opt!$D$240:$CX$240,   Opt!$D$249:$CX$249,   Opt!$D$257:$CX$257,   Opt!$D$265:$CX$265,   Opt!$D$273:$CX$273,   Opt!$D$281:$R$281,   Opt!$D$287:$R$287,   Opt!$D$186:$CX$186,   Opt!$D$192:$R$192,   Opt!$D$198:$R$198,   Opt!$D$204:$R$204,   Opt!$D$210:$R$210,   Opt!$D$216:$R$216,   Opt!$D$222:$R$222 )</definedName>
    <definedName name="YDcrr">CHOOSE(   MATCH(Opt!$B$121,         {"Digital Call","Digital Put","Double-Digital","Bull Spread","Bear Spread","Strangle","Butterfly","Arithmetic Call","Arithmetic Put","Geometric Call","Geometric Put","Lookback Call","Lookback Put","American Call","American Put"},         0),   Opt!$D$229:$CX$229,   Opt!$D$238:$CX$238,   Opt!$D$177:$CX$177,   Opt!$D$247:$CX$247,   Opt!$D$255:$CX$255,   Opt!$D$263:$CX$263,   Opt!$D$271:$CX$271,   Opt!$D$190:$R$190,   Opt!$D$196:$R$196,   Opt!$D$279:$R$279,   Opt!$D$285:$R$285,   Opt!$D$202:$R$202,   Opt!$D$208:$R$208,   Opt!$D$214:$R$214,   Opt!$D$220:$R$220 )</definedName>
    <definedName name="YDlim">CHOOSE(   MATCH(Opt!$B$121,         {"Digital Call","Digital Put","Bull Spread","Bear Spread","Strangle","Butterfly","Geometric Call","Geometric Put","Double-Digital","Arithmetic Call","Arithmetic Put","Lookback Call","Lookback Put","American Call","American Put"},         0),   Opt!$M$233:$M$234,   Opt!$M$242:$M$243,   Opt!$F$250:$F$251,   Opt!$F$258:$F$259,   Opt!$F$266:$F$267,   Opt!$F$274:$F$275,   Opt!$W$281:$W$282,   Opt!$Y$281:$Y$282,   Opt!$J$181:$J$182,   Opt!$Z$191:$Z$192,   Opt!$AB$191:$AB$192,   Opt!$Z$203:$Z$204,   Opt!$AB$203:$AB$204,   Opt!$CY$211:$CY$212,   Opt!$N$224:$N$225 )</definedName>
    <definedName name="YPconv">CHOOSE(   MATCH(Opt!$B$121,         {"Digital Call","Digital Put","Double-Digital","Bull Spread","Bear Spread","Strangle","Butterfly","Arithmetic Call","Arithmetic Put","Geometric Call","Geometric Put","Lookback Call","Lookback Put","American Call","American Put"},         0),   Opt!$D$230:$CX$230,   Opt!$D$239:$CX$239,   Opt!$D$185:$CX$185,   Opt!$D$248:$CX$248,   Opt!$D$256:$CX$256,   Opt!$D$264:$CX$264,   Opt!$D$272:$CX$272,   Opt!$D$191:$R$191,   Opt!$D$197:$R$197,   Opt!$D$280:$R$280,   Opt!$D$286:$R$286,   Opt!$D$203:$R$203,   Opt!$D$209:$R$209,   Opt!$D$215:$CX$215,   Opt!$D$221:$CX$221 )</definedName>
    <definedName name="YPcrr">CHOOSE(   MATCH(Opt!$B$121,         {"Digital Call","Digital Put","Double-Digital","Bull Spread","Bear Spread","Strangle","Butterfly","Arithmetic Call","Arithmetic Put","Geometric Call","Geometric Put","Lookback Call","Lookback Put","American Call","American Put"},         0),   Opt!$D$228:$CX$228,   Opt!$D$237:$CX$237,   Opt!$D$176:$CX$176,   Opt!$D$246:$CX$246,   Opt!$D$254:$CX$254,   Opt!$D$262:$CX$262,   Opt!$D$270:$CX$270,   Opt!$D$189:$R$189,   Opt!$D$195:$R$195,   Opt!$D$278:$R$278,   Opt!$D$284:$R$284,   Opt!$D$201:$R$201,   Opt!$D$207:$R$207,   Opt!$D$213:$CX$213,   Opt!$D$219:$CX$219 )</definedName>
    <definedName name="YPlim">CHOOSE(   MATCH(Opt!$B$121,         {"Digital Call","Digital Put","Double-Digital","Bull Spread","Bear Spread","Strangle","Butterfly","Arithmetic Call","Arithmetic Put","Geometric Call","Geometric Put","Lookback Call","Lookback Put","American Call","American Put"},         0),   Opt!$L$233:$L$234,   Opt!$L$242:$L$243,   Opt!$F$181:$F$182,   Opt!$E$250:$E$251,   Opt!$E$258:$E$259,   Opt!$E$266:$E$267,   Opt!$E$274:$E$275,   Opt!$Z$188:$Z$189,   Opt!$AB$188:$AB$189,   Opt!$W$278:$W$279,   Opt!$Y$278:$Y$279,   Opt!$Z$200:$Z$201,   Opt!$AB$200:$AB$201,   Opt!$CV$211:$CV$212,   Opt!$L$224:$L$225 )</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59" i="7" l="1"/>
  <c r="V60" i="7"/>
  <c r="V61" i="7"/>
  <c r="V62" i="7"/>
  <c r="V63" i="7"/>
  <c r="V64" i="7"/>
  <c r="V65" i="7"/>
  <c r="V66" i="7"/>
  <c r="V67" i="7"/>
  <c r="V68" i="7"/>
  <c r="V58" i="7"/>
  <c r="AG57" i="7"/>
  <c r="AF57" i="7"/>
  <c r="AE57" i="7"/>
  <c r="AD57" i="7"/>
  <c r="AC57" i="7"/>
  <c r="AB57" i="7"/>
  <c r="AA57" i="7"/>
  <c r="Z57" i="7"/>
  <c r="Y57" i="7"/>
  <c r="X57" i="7"/>
  <c r="B47" i="7"/>
  <c r="A47" i="7"/>
  <c r="B9" i="7"/>
  <c r="B128" i="1"/>
  <c r="A9" i="7"/>
  <c r="A128" i="1"/>
  <c r="AG16" i="7"/>
  <c r="AG17" i="7"/>
  <c r="AG18" i="7"/>
  <c r="AG19" i="7"/>
  <c r="AG20" i="7"/>
  <c r="AG21" i="7"/>
  <c r="AG22" i="7"/>
  <c r="AG23" i="7"/>
  <c r="AG24" i="7"/>
  <c r="AG25" i="7"/>
  <c r="AG15" i="7"/>
  <c r="Q15" i="7"/>
  <c r="AR14" i="7"/>
  <c r="AQ14" i="7"/>
  <c r="AP14" i="7"/>
  <c r="AO14" i="7"/>
  <c r="AN14" i="7"/>
  <c r="AM14" i="7"/>
  <c r="AL14" i="7"/>
  <c r="AK14" i="7"/>
  <c r="AJ14" i="7"/>
  <c r="AI14" i="7"/>
  <c r="EY58" i="7" a="1"/>
  <c r="K54" i="7" a="1"/>
  <c r="FW58" i="7" a="1"/>
  <c r="AI58" i="7" a="1"/>
  <c r="FK58" i="7" a="1"/>
  <c r="AU58" i="7" a="1"/>
  <c r="K52" i="7" a="1"/>
  <c r="HS58" i="7" a="1"/>
  <c r="DC58" i="7" a="1"/>
  <c r="GI58" i="7" a="1"/>
  <c r="CE58" i="7" a="1"/>
  <c r="DO58" i="7" a="1"/>
  <c r="GU58" i="7" a="1"/>
  <c r="W58" i="7" a="1"/>
  <c r="EM58" i="7" a="1"/>
  <c r="BG58" i="7" a="1"/>
  <c r="HG58" i="7" a="1"/>
  <c r="CQ58" i="7" a="1"/>
  <c r="G54" i="7" a="1"/>
  <c r="BS58" i="7" a="1"/>
  <c r="EA58" i="7" a="1"/>
  <c r="AI27" i="7" a="1"/>
  <c r="BS27" i="7" a="1"/>
  <c r="CE27" i="7" a="1"/>
  <c r="AH15" i="7" a="1"/>
  <c r="AU27" i="7" a="1"/>
  <c r="BG27" i="7" a="1"/>
  <c r="W27" i="7" a="1"/>
  <c r="R15" i="7" a="1"/>
  <c r="CQ27" i="7" a="1"/>
  <c r="GI27" i="7" a="1"/>
  <c r="FW27" i="7" a="1"/>
  <c r="FK27" i="7" a="1"/>
  <c r="DO27" i="7" a="1"/>
  <c r="DC27" i="7" a="1"/>
  <c r="EM27" i="7" a="1"/>
  <c r="EA27" i="7" a="1"/>
  <c r="GU27" i="7" a="1"/>
  <c r="EY27" i="7" a="1"/>
  <c r="BG58" i="7" l="1"/>
  <c r="BS58" i="7"/>
  <c r="CQ27" i="7"/>
  <c r="DO58" i="7"/>
  <c r="EM58" i="7"/>
  <c r="FW58" i="7"/>
  <c r="GI27" i="7"/>
  <c r="GI58" i="7"/>
  <c r="CE58" i="7"/>
  <c r="DC27" i="7"/>
  <c r="EA27" i="7"/>
  <c r="EY27" i="7"/>
  <c r="FK27" i="7"/>
  <c r="GU27" i="7"/>
  <c r="GU58" i="7"/>
  <c r="AU58" i="7"/>
  <c r="CE27" i="7"/>
  <c r="CQ58" i="7"/>
  <c r="DO27" i="7"/>
  <c r="EM27" i="7"/>
  <c r="FK58" i="7"/>
  <c r="W58" i="7"/>
  <c r="HG58" i="7"/>
  <c r="BS27" i="7"/>
  <c r="BG27" i="7"/>
  <c r="DC58" i="7"/>
  <c r="EA58" i="7"/>
  <c r="EY58" i="7"/>
  <c r="FW27" i="7"/>
  <c r="AI58" i="7"/>
  <c r="HS58" i="7"/>
  <c r="AU27" i="7"/>
  <c r="AI27" i="7"/>
  <c r="W27" i="7"/>
  <c r="AH15" i="7"/>
  <c r="R15" i="7"/>
  <c r="G54" i="7"/>
  <c r="K54" i="7"/>
  <c r="K52" i="7"/>
  <c r="Q16" i="7"/>
  <c r="Q17" i="7"/>
  <c r="Q18" i="7"/>
  <c r="Q19" i="7"/>
  <c r="Q20" i="7"/>
  <c r="Q21" i="7"/>
  <c r="Q22" i="7"/>
  <c r="Q23" i="7"/>
  <c r="Q24" i="7"/>
  <c r="Q25" i="7"/>
  <c r="AB14" i="7"/>
  <c r="AA14" i="7"/>
  <c r="Z14" i="7"/>
  <c r="Y14" i="7"/>
  <c r="X14" i="7"/>
  <c r="W14" i="7"/>
  <c r="V14" i="7"/>
  <c r="U14" i="7"/>
  <c r="T14" i="7"/>
  <c r="S14" i="7"/>
  <c r="O54" i="7" l="1"/>
  <c r="H251" i="1"/>
  <c r="K274" i="1"/>
  <c r="K275" i="1" s="1"/>
  <c r="CU210" i="1"/>
  <c r="CX211" i="1" s="1"/>
  <c r="CY212" i="1" s="1"/>
  <c r="CZ19" i="1"/>
  <c r="CY71" i="1" s="1"/>
  <c r="CL184" i="1"/>
  <c r="CM184" i="1"/>
  <c r="CN184" i="1"/>
  <c r="CO184" i="1"/>
  <c r="CP184" i="1"/>
  <c r="CQ184" i="1"/>
  <c r="CR184" i="1"/>
  <c r="CS184" i="1"/>
  <c r="CT184" i="1"/>
  <c r="CU184" i="1"/>
  <c r="CV184" i="1"/>
  <c r="CW184" i="1"/>
  <c r="CX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D184" i="1"/>
  <c r="E180" i="1"/>
  <c r="E179" i="1"/>
  <c r="J242" i="1" s="1"/>
  <c r="CZ18"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U45" i="1"/>
  <c r="CV45" i="1"/>
  <c r="CW45" i="1"/>
  <c r="C45" i="1"/>
  <c r="BW229" i="1" a="1"/>
  <c r="AP237" i="1" a="1"/>
  <c r="BJ229" i="1" a="1"/>
  <c r="U237" i="1" a="1"/>
  <c r="O195" i="1" a="1"/>
  <c r="F229" i="1" a="1"/>
  <c r="U279" i="1" a="1"/>
  <c r="CE229" i="1" a="1"/>
  <c r="BI228" i="1" a="1"/>
  <c r="CN229" i="1" a="1"/>
  <c r="BR238" i="1" a="1"/>
  <c r="R202" i="1" a="1"/>
  <c r="AY237" i="1" a="1"/>
  <c r="BX228" i="1" a="1"/>
  <c r="I238" i="1" a="1"/>
  <c r="AI229" i="1" a="1"/>
  <c r="BJ237" i="1" a="1"/>
  <c r="AH238" i="1" a="1"/>
  <c r="CR238" i="1" a="1"/>
  <c r="CD229" i="1" a="1"/>
  <c r="G237" i="1" a="1"/>
  <c r="BR229" i="1" a="1"/>
  <c r="Z238" i="1" a="1"/>
  <c r="CT229" i="1" a="1"/>
  <c r="O201" i="1" a="1"/>
  <c r="F190" i="1" a="1"/>
  <c r="AQ237" i="1" a="1"/>
  <c r="BL229" i="1" a="1"/>
  <c r="AP228" i="1" a="1"/>
  <c r="O196" i="1" a="1"/>
  <c r="J278" i="1" a="1"/>
  <c r="BQ238" i="1" a="1"/>
  <c r="P195" i="1" a="1"/>
  <c r="N279" i="1" a="1"/>
  <c r="Y228" i="1" a="1"/>
  <c r="BV228" i="1" a="1"/>
  <c r="AC229" i="1" a="1"/>
  <c r="AR229" i="1" a="1"/>
  <c r="L279" i="1" a="1"/>
  <c r="U228" i="1" a="1"/>
  <c r="BQ229" i="1" a="1"/>
  <c r="AQ238" i="1" a="1"/>
  <c r="BA229" i="1" a="1"/>
  <c r="AL237" i="1" a="1"/>
  <c r="AK237" i="1" a="1"/>
  <c r="AM228" i="1" a="1"/>
  <c r="H237" i="1" a="1"/>
  <c r="CP228" i="1" a="1"/>
  <c r="BM237" i="1" a="1"/>
  <c r="AV237" i="1" a="1"/>
  <c r="N190" i="1" a="1"/>
  <c r="F238" i="1" a="1"/>
  <c r="AS238" i="1" a="1"/>
  <c r="K278" i="1" a="1"/>
  <c r="G229" i="1" a="1"/>
  <c r="BC237" i="1" a="1"/>
  <c r="AK228" i="1" a="1"/>
  <c r="R208" i="1" a="1"/>
  <c r="CC238" i="1" a="1"/>
  <c r="AF238" i="1" a="1"/>
  <c r="R278" i="1" a="1"/>
  <c r="L207" i="1" a="1"/>
  <c r="J195" i="1" a="1"/>
  <c r="AC238" i="1" a="1"/>
  <c r="AX228" i="1" a="1"/>
  <c r="AN229" i="1" a="1"/>
  <c r="M278" i="1" a="1"/>
  <c r="BK228" i="1" a="1"/>
  <c r="CB237" i="1" a="1"/>
  <c r="CT238" i="1" a="1"/>
  <c r="L202" i="1" a="1"/>
  <c r="K208" i="1" a="1"/>
  <c r="BV237" i="1" a="1"/>
  <c r="AB228" i="1" a="1"/>
  <c r="L229" i="1" a="1"/>
  <c r="CC229" i="1" a="1"/>
  <c r="AF237" i="1" a="1"/>
  <c r="CJ238" i="1" a="1"/>
  <c r="K207" i="1" a="1"/>
  <c r="X193" i="1" a="1"/>
  <c r="BG228" i="1" a="1"/>
  <c r="CS228" i="1" a="1"/>
  <c r="AD228" i="1" a="1"/>
  <c r="BD237" i="1" a="1"/>
  <c r="CH228" i="1" a="1"/>
  <c r="R229" i="1" a="1"/>
  <c r="BK229" i="1" a="1"/>
  <c r="CQ228" i="1" a="1"/>
  <c r="Z229" i="1" a="1"/>
  <c r="BJ238" i="1" a="1"/>
  <c r="I279" i="1" a="1"/>
  <c r="M279" i="1" a="1"/>
  <c r="X229" i="1" a="1"/>
  <c r="R189" i="1" a="1"/>
  <c r="BO228" i="1" a="1"/>
  <c r="CK238" i="1" a="1"/>
  <c r="H208" i="1" a="1"/>
  <c r="Z237" i="1" a="1"/>
  <c r="BT238" i="1" a="1"/>
  <c r="BU238" i="1" a="1"/>
  <c r="G238" i="1" a="1"/>
  <c r="BT228" i="1" a="1"/>
  <c r="M201" i="1" a="1"/>
  <c r="AY238" i="1" a="1"/>
  <c r="AW228" i="1" a="1"/>
  <c r="AE228" i="1" a="1"/>
  <c r="CS229" i="1" a="1"/>
  <c r="BM228" i="1" a="1"/>
  <c r="AD238" i="1" a="1"/>
  <c r="I284" i="1" a="1"/>
  <c r="I208" i="1" a="1"/>
  <c r="M229" i="1" a="1"/>
  <c r="AM237" i="1" a="1"/>
  <c r="N284" i="1" a="1"/>
  <c r="AG237" i="1" a="1"/>
  <c r="X237" i="1" a="1"/>
  <c r="AE229" i="1" a="1"/>
  <c r="E201" i="1" a="1"/>
  <c r="E238" i="1" a="1"/>
  <c r="CK229" i="1" a="1"/>
  <c r="BD228" i="1" a="1"/>
  <c r="F195" i="1" a="1"/>
  <c r="AV229" i="1" a="1"/>
  <c r="E195" i="1" a="1"/>
  <c r="V228" i="1" a="1"/>
  <c r="O279" i="1" a="1"/>
  <c r="AD237" i="1" a="1"/>
  <c r="AF228" i="1" a="1"/>
  <c r="CO228" i="1" a="1"/>
  <c r="N278" i="1" a="1"/>
  <c r="R195" i="1" a="1"/>
  <c r="AB229" i="1" a="1"/>
  <c r="AI238" i="1" a="1"/>
  <c r="G201" i="1" a="1"/>
  <c r="CD228" i="1" a="1"/>
  <c r="BP228" i="1" a="1"/>
  <c r="AY229" i="1" a="1"/>
  <c r="G279" i="1" a="1"/>
  <c r="CT237" i="1" a="1"/>
  <c r="E285" i="1" a="1"/>
  <c r="D201" i="1" a="1"/>
  <c r="J279" i="1" a="1"/>
  <c r="CL238" i="1" a="1"/>
  <c r="D285" i="1" a="1"/>
  <c r="U229" i="1" a="1"/>
  <c r="AT237" i="1" a="1"/>
  <c r="AL229" i="1" a="1"/>
  <c r="CK228" i="1" a="1"/>
  <c r="CO238" i="1" a="1"/>
  <c r="E196" i="1" a="1"/>
  <c r="CE228" i="1" a="1"/>
  <c r="CQ229" i="1" a="1"/>
  <c r="H195" i="1" a="1"/>
  <c r="AV228" i="1" a="1"/>
  <c r="BC228" i="1" a="1"/>
  <c r="F237" i="1" a="1"/>
  <c r="CI238" i="1" a="1"/>
  <c r="AY228" i="1" a="1"/>
  <c r="I196" i="1" a="1"/>
  <c r="D228" i="1" a="1"/>
  <c r="CJ237" i="1" a="1"/>
  <c r="AZ229" i="1" a="1"/>
  <c r="CB238" i="1" a="1"/>
  <c r="T229" i="1" a="1"/>
  <c r="BK238" i="1" a="1"/>
  <c r="BD238" i="1" a="1"/>
  <c r="G195" i="1" a="1"/>
  <c r="AT228" i="1" a="1"/>
  <c r="CV228" i="1" a="1"/>
  <c r="AG228" i="1" a="1"/>
  <c r="G284" i="1" a="1"/>
  <c r="CU237" i="1" a="1"/>
  <c r="AR228" i="1" a="1"/>
  <c r="AK238" i="1" a="1"/>
  <c r="BB229" i="1" a="1"/>
  <c r="L189" i="1" a="1"/>
  <c r="AE238" i="1" a="1"/>
  <c r="BB228" i="1" a="1"/>
  <c r="CU228" i="1" a="1"/>
  <c r="I285" i="1" a="1"/>
  <c r="K228" i="1" a="1"/>
  <c r="E207" i="1" a="1"/>
  <c r="BW228" i="1" a="1"/>
  <c r="AZ237" i="1" a="1"/>
  <c r="W229" i="1" a="1"/>
  <c r="CI229" i="1" a="1"/>
  <c r="P285" i="1" a="1"/>
  <c r="U281" i="1" a="1"/>
  <c r="I278" i="1" a="1"/>
  <c r="K195" i="1" a="1"/>
  <c r="H238" i="1" a="1"/>
  <c r="O202" i="1" a="1"/>
  <c r="P237" i="1" a="1"/>
  <c r="CA237" i="1" a="1"/>
  <c r="R196" i="1" a="1"/>
  <c r="AW229" i="1" a="1"/>
  <c r="P202" i="1" a="1"/>
  <c r="Y229" i="1" a="1"/>
  <c r="O285" i="1" a="1"/>
  <c r="X192" i="1" a="1"/>
  <c r="M237" i="1" a="1"/>
  <c r="BS229" i="1" a="1"/>
  <c r="CR229" i="1" a="1"/>
  <c r="X200" i="1" a="1"/>
  <c r="BE228" i="1" a="1"/>
  <c r="K237" i="1" a="1"/>
  <c r="BZ237" i="1" a="1"/>
  <c r="X191" i="1" a="1"/>
  <c r="Q279" i="1" a="1"/>
  <c r="BH238" i="1" a="1"/>
  <c r="I228" i="1" a="1"/>
  <c r="X201" i="1" a="1"/>
  <c r="AH228" i="1" a="1"/>
  <c r="BO238" i="1" a="1"/>
  <c r="P228" i="1" a="1"/>
  <c r="N189" i="1" a="1"/>
  <c r="CU238" i="1" a="1"/>
  <c r="L238" i="1" a="1"/>
  <c r="BU229" i="1" a="1"/>
  <c r="J225" i="1" a="1"/>
  <c r="CO237" i="1" a="1"/>
  <c r="CX237" i="1" a="1"/>
  <c r="AJ229" i="1" a="1"/>
  <c r="CV229" i="1" a="1"/>
  <c r="BQ228" i="1" a="1"/>
  <c r="CG229" i="1" a="1"/>
  <c r="CE238" i="1" a="1"/>
  <c r="L284" i="1" a="1"/>
  <c r="R284" i="1" a="1"/>
  <c r="H285" i="1" a="1"/>
  <c r="CH237" i="1" a="1"/>
  <c r="R238" i="1" a="1"/>
  <c r="CP237" i="1" a="1"/>
  <c r="AP238" i="1" a="1"/>
  <c r="X228" i="1" a="1"/>
  <c r="O278" i="1" a="1"/>
  <c r="AC237" i="1" a="1"/>
  <c r="CM228" i="1" a="1"/>
  <c r="N285" i="1" a="1"/>
  <c r="AE237" i="1" a="1"/>
  <c r="BC229" i="1" a="1"/>
  <c r="BL228" i="1" a="1"/>
  <c r="AS229" i="1" a="1"/>
  <c r="AZ228" i="1" a="1"/>
  <c r="G190" i="1" a="1"/>
  <c r="AS228" i="1" a="1"/>
  <c r="BI237" i="1" a="1"/>
  <c r="N208" i="1" a="1"/>
  <c r="BK237" i="1" a="1"/>
  <c r="K201" i="1" a="1"/>
  <c r="CE237" i="1" a="1"/>
  <c r="J201" i="1" a="1"/>
  <c r="L285" i="1" a="1"/>
  <c r="Q237" i="1" a="1"/>
  <c r="AN238" i="1" a="1"/>
  <c r="AA237" i="1" a="1"/>
  <c r="F278" i="1" a="1"/>
  <c r="AP229" i="1" a="1"/>
  <c r="AR237" i="1" a="1"/>
  <c r="Z228" i="1" a="1"/>
  <c r="Q196" i="1" a="1"/>
  <c r="CA229" i="1" a="1"/>
  <c r="CR228" i="1" a="1"/>
  <c r="H278" i="1" a="1"/>
  <c r="CM229" i="1" a="1"/>
  <c r="CM237" i="1" a="1"/>
  <c r="J189" i="1" a="1"/>
  <c r="R237" i="1" a="1"/>
  <c r="U238" i="1" a="1"/>
  <c r="L196" i="1" a="1"/>
  <c r="X203" i="1" a="1"/>
  <c r="CN238" i="1" a="1"/>
  <c r="S238" i="1" a="1"/>
  <c r="BS228" i="1" a="1"/>
  <c r="J238" i="1" a="1"/>
  <c r="L228" i="1" a="1"/>
  <c r="CW229" i="1" a="1"/>
  <c r="F207" i="1" a="1"/>
  <c r="N228" i="1" a="1"/>
  <c r="H284" i="1" a="1"/>
  <c r="D229" i="1" a="1"/>
  <c r="X238" i="1" a="1"/>
  <c r="I190" i="1" a="1"/>
  <c r="I201" i="1" a="1"/>
  <c r="Q278" i="1" a="1"/>
  <c r="BG229" i="1" a="1"/>
  <c r="Q189" i="1" a="1"/>
  <c r="CA228" i="1" a="1"/>
  <c r="H196" i="1" a="1"/>
  <c r="BO237" i="1" a="1"/>
  <c r="D208" i="1" a="1"/>
  <c r="AH237" i="1" a="1"/>
  <c r="Q202" i="1" a="1"/>
  <c r="BA237" i="1" a="1"/>
  <c r="CV238" i="1" a="1"/>
  <c r="N238" i="1" a="1"/>
  <c r="BY229" i="1" a="1"/>
  <c r="BW238" i="1" a="1"/>
  <c r="BA238" i="1" a="1"/>
  <c r="D278" i="1" a="1"/>
  <c r="Q195" i="1" a="1"/>
  <c r="D195" i="1" a="1"/>
  <c r="P190" i="1" a="1"/>
  <c r="CP229" i="1" a="1"/>
  <c r="S229" i="1" a="1"/>
  <c r="BB238" i="1" a="1"/>
  <c r="CD237" i="1" a="1"/>
  <c r="BM229" i="1" a="1"/>
  <c r="CS237" i="1" a="1"/>
  <c r="O189" i="1" a="1"/>
  <c r="AS237" i="1" a="1"/>
  <c r="CF238" i="1" a="1"/>
  <c r="F196" i="1" a="1"/>
  <c r="AW238" i="1" a="1"/>
  <c r="G208" i="1" a="1"/>
  <c r="BF228" i="1" a="1"/>
  <c r="BN238" i="1" a="1"/>
  <c r="CH229" i="1" a="1"/>
  <c r="D189" i="1" a="1"/>
  <c r="AO237" i="1" a="1"/>
  <c r="D202" i="1" a="1"/>
  <c r="CC228" i="1" a="1"/>
  <c r="BI229" i="1" a="1"/>
  <c r="H228" i="1" a="1"/>
  <c r="AZ238" i="1" a="1"/>
  <c r="N237" i="1" a="1"/>
  <c r="L237" i="1" a="1"/>
  <c r="AO229" i="1" a="1"/>
  <c r="BB237" i="1" a="1"/>
  <c r="E237" i="1" a="1"/>
  <c r="P208" i="1" a="1"/>
  <c r="E228" i="1" a="1"/>
  <c r="W237" i="1" a="1"/>
  <c r="AX229" i="1" a="1"/>
  <c r="E229" i="1" a="1"/>
  <c r="CL229" i="1" a="1"/>
  <c r="AB237" i="1" a="1"/>
  <c r="CN237" i="1" a="1"/>
  <c r="BE237" i="1" a="1"/>
  <c r="AI237" i="1" a="1"/>
  <c r="S237" i="1" a="1"/>
  <c r="BZ228" i="1" a="1"/>
  <c r="BT229" i="1" a="1"/>
  <c r="AT238" i="1" a="1"/>
  <c r="J285" i="1" a="1"/>
  <c r="CP238" i="1" a="1"/>
  <c r="BH228" i="1" a="1"/>
  <c r="CR237" i="1" a="1"/>
  <c r="J228" i="1" a="1"/>
  <c r="BY228" i="1" a="1"/>
  <c r="E279" i="1" a="1"/>
  <c r="I207" i="1" a="1"/>
  <c r="CF237" i="1" a="1"/>
  <c r="I237" i="1" a="1"/>
  <c r="K229" i="1" a="1"/>
  <c r="AQ228" i="1" a="1"/>
  <c r="N201" i="1" a="1"/>
  <c r="AU238" i="1" a="1"/>
  <c r="CG238" i="1" a="1"/>
  <c r="V238" i="1" a="1"/>
  <c r="R285" i="1" a="1"/>
  <c r="D238" i="1" a="1"/>
  <c r="O208" i="1" a="1"/>
  <c r="O237" i="1" a="1"/>
  <c r="J190" i="1" a="1"/>
  <c r="M284" i="1" a="1"/>
  <c r="M195" i="1" a="1"/>
  <c r="AC228" i="1" a="1"/>
  <c r="AO238" i="1" a="1"/>
  <c r="K190" i="1" a="1"/>
  <c r="BR237" i="1" a="1"/>
  <c r="AU229" i="1" a="1"/>
  <c r="Q207" i="1" a="1"/>
  <c r="O207" i="1" a="1"/>
  <c r="N195" i="1" a="1"/>
  <c r="L278" i="1" a="1"/>
  <c r="N207" i="1" a="1"/>
  <c r="CN228" i="1" a="1"/>
  <c r="BN237" i="1" a="1"/>
  <c r="AD229" i="1" a="1"/>
  <c r="CD238" i="1" a="1"/>
  <c r="BH237" i="1" a="1"/>
  <c r="P196" i="1" a="1"/>
  <c r="P229" i="1" a="1"/>
  <c r="F189" i="1" a="1"/>
  <c r="K189" i="1" a="1"/>
  <c r="BT237" i="1" a="1"/>
  <c r="G202" i="1" a="1"/>
  <c r="CM238" i="1" a="1"/>
  <c r="Q284" i="1" a="1"/>
  <c r="M202" i="1" a="1"/>
  <c r="AT229" i="1" a="1"/>
  <c r="L208" i="1" a="1"/>
  <c r="BE238" i="1" a="1"/>
  <c r="K284" i="1" a="1"/>
  <c r="D284" i="1" a="1"/>
  <c r="N202" i="1" a="1"/>
  <c r="AK229" i="1" a="1"/>
  <c r="V229" i="1" a="1"/>
  <c r="AA229" i="1" a="1"/>
  <c r="BF237" i="1" a="1"/>
  <c r="CJ229" i="1" a="1"/>
  <c r="AU228" i="1" a="1"/>
  <c r="M189" i="1" a="1"/>
  <c r="CI237" i="1" a="1"/>
  <c r="CW228" i="1" a="1"/>
  <c r="E202" i="1" a="1"/>
  <c r="CG228" i="1" a="1"/>
  <c r="G189" i="1" a="1"/>
  <c r="E278" i="1" a="1"/>
  <c r="K238" i="1" a="1"/>
  <c r="CX229" i="1" a="1"/>
  <c r="Y238" i="1" a="1"/>
  <c r="P207" i="1" a="1"/>
  <c r="BZ229" i="1" a="1"/>
  <c r="AO228" i="1" a="1"/>
  <c r="BS238" i="1" a="1"/>
  <c r="F202" i="1" a="1"/>
  <c r="R228" i="1" a="1"/>
  <c r="W228" i="1" a="1"/>
  <c r="Q285" i="1" a="1"/>
  <c r="BN228" i="1" a="1"/>
  <c r="CS238" i="1" a="1"/>
  <c r="BE229" i="1" a="1"/>
  <c r="X190" i="1" a="1"/>
  <c r="AL238" i="1" a="1"/>
  <c r="P279" i="1" a="1"/>
  <c r="I229" i="1" a="1"/>
  <c r="BX237" i="1" a="1"/>
  <c r="BY237" i="1" a="1"/>
  <c r="W238" i="1" a="1"/>
  <c r="T238" i="1" a="1"/>
  <c r="BP237" i="1" a="1"/>
  <c r="BU237" i="1" a="1"/>
  <c r="D207" i="1" a="1"/>
  <c r="J207" i="1" a="1"/>
  <c r="P278" i="1" a="1"/>
  <c r="R207" i="1" a="1"/>
  <c r="AJ238" i="1" a="1"/>
  <c r="R190" i="1" a="1"/>
  <c r="AG238" i="1" a="1"/>
  <c r="CX238" i="1" a="1"/>
  <c r="BD229" i="1" a="1"/>
  <c r="BV229" i="1" a="1"/>
  <c r="CT228" i="1" a="1"/>
  <c r="M196" i="1" a="1"/>
  <c r="BM238" i="1" a="1"/>
  <c r="D190" i="1" a="1"/>
  <c r="AR238" i="1" a="1"/>
  <c r="O284" i="1" a="1"/>
  <c r="T228" i="1" a="1"/>
  <c r="AJ237" i="1" a="1"/>
  <c r="CQ237" i="1" a="1"/>
  <c r="AN228" i="1" a="1"/>
  <c r="CG237" i="1" a="1"/>
  <c r="CU229" i="1" a="1"/>
  <c r="CV237" i="1" a="1"/>
  <c r="Q201" i="1" a="1"/>
  <c r="CW237" i="1" a="1"/>
  <c r="BC238" i="1" a="1"/>
  <c r="N229" i="1" a="1"/>
  <c r="BO229" i="1" a="1"/>
  <c r="K279" i="1" a="1"/>
  <c r="O229" i="1" a="1"/>
  <c r="P238" i="1" a="1"/>
  <c r="BJ228" i="1" a="1"/>
  <c r="V237" i="1" a="1"/>
  <c r="CK237" i="1" a="1"/>
  <c r="BP238" i="1" a="1"/>
  <c r="G285" i="1" a="1"/>
  <c r="BR228" i="1" a="1"/>
  <c r="CL228" i="1" a="1"/>
  <c r="L190" i="1" a="1"/>
  <c r="CI228" i="1" a="1"/>
  <c r="AQ229" i="1" a="1"/>
  <c r="J208" i="1" a="1"/>
  <c r="J284" i="1" a="1"/>
  <c r="BP229" i="1" a="1"/>
  <c r="U280" i="1" a="1"/>
  <c r="E190" i="1" a="1"/>
  <c r="AU237" i="1" a="1"/>
  <c r="J202" i="1" a="1"/>
  <c r="CX228" i="1" a="1"/>
  <c r="H201" i="1" a="1"/>
  <c r="BQ237" i="1" a="1"/>
  <c r="BN229" i="1" a="1"/>
  <c r="AM238" i="1" a="1"/>
  <c r="J196" i="1" a="1"/>
  <c r="P284" i="1" a="1"/>
  <c r="K285" i="1" a="1"/>
  <c r="I195" i="1" a="1"/>
  <c r="CO229" i="1" a="1"/>
  <c r="BG238" i="1" a="1"/>
  <c r="BI238" i="1" a="1"/>
  <c r="H207" i="1" a="1"/>
  <c r="CH238" i="1" a="1"/>
  <c r="AA238" i="1" a="1"/>
  <c r="AW237" i="1" a="1"/>
  <c r="AI228" i="1" a="1"/>
  <c r="AV238" i="1" a="1"/>
  <c r="BS237" i="1" a="1"/>
  <c r="AG229" i="1" a="1"/>
  <c r="CF229" i="1" a="1"/>
  <c r="F279" i="1" a="1"/>
  <c r="BH229" i="1" a="1"/>
  <c r="G228" i="1" a="1"/>
  <c r="AB238" i="1" a="1"/>
  <c r="K202" i="1" a="1"/>
  <c r="X202" i="1" a="1"/>
  <c r="S228" i="1" a="1"/>
  <c r="T237" i="1" a="1"/>
  <c r="BU228" i="1" a="1"/>
  <c r="G278" i="1" a="1"/>
  <c r="U278" i="1" a="1"/>
  <c r="M285" i="1" a="1"/>
  <c r="D237" i="1" a="1"/>
  <c r="CL237" i="1" a="1"/>
  <c r="P189" i="1" a="1"/>
  <c r="BY238" i="1" a="1"/>
  <c r="CF228" i="1" a="1"/>
  <c r="BL237" i="1" a="1"/>
  <c r="CB228" i="1" a="1"/>
  <c r="CW238" i="1" a="1"/>
  <c r="BV238" i="1" a="1"/>
  <c r="H279" i="1" a="1"/>
  <c r="F285" i="1" a="1"/>
  <c r="F284" i="1" a="1"/>
  <c r="O228" i="1" a="1"/>
  <c r="I202" i="1" a="1"/>
  <c r="F228" i="1" a="1"/>
  <c r="CJ228" i="1" a="1"/>
  <c r="BG237" i="1" a="1"/>
  <c r="AN237" i="1" a="1"/>
  <c r="H229" i="1" a="1"/>
  <c r="AL228" i="1" a="1"/>
  <c r="J229" i="1" a="1"/>
  <c r="CB229" i="1" a="1"/>
  <c r="G196" i="1" a="1"/>
  <c r="O238" i="1" a="1"/>
  <c r="F208" i="1" a="1"/>
  <c r="K196" i="1" a="1"/>
  <c r="Q190" i="1" a="1"/>
  <c r="Q238" i="1" a="1"/>
  <c r="AA228" i="1" a="1"/>
  <c r="H190" i="1" a="1"/>
  <c r="H202" i="1" a="1"/>
  <c r="M208" i="1" a="1"/>
  <c r="E189" i="1" a="1"/>
  <c r="M228" i="1" a="1"/>
  <c r="Q228" i="1" a="1"/>
  <c r="H189" i="1" a="1"/>
  <c r="L201" i="1" a="1"/>
  <c r="E284" i="1" a="1"/>
  <c r="I189" i="1" a="1"/>
  <c r="AX237" i="1" a="1"/>
  <c r="BA228" i="1" a="1"/>
  <c r="M207" i="1" a="1"/>
  <c r="AJ228" i="1" a="1"/>
  <c r="BX229" i="1" a="1"/>
  <c r="O190" i="1" a="1"/>
  <c r="BF238" i="1" a="1"/>
  <c r="R201" i="1" a="1"/>
  <c r="AX238" i="1" a="1"/>
  <c r="M190" i="1" a="1"/>
  <c r="Q208" i="1" a="1"/>
  <c r="P201" i="1" a="1"/>
  <c r="Q229" i="1" a="1"/>
  <c r="Y237" i="1" a="1"/>
  <c r="G207" i="1" a="1"/>
  <c r="AF229" i="1" a="1"/>
  <c r="D196" i="1" a="1"/>
  <c r="F201" i="1" a="1"/>
  <c r="CQ238" i="1" a="1"/>
  <c r="AM229" i="1" a="1"/>
  <c r="BW237" i="1" a="1"/>
  <c r="AH229" i="1" a="1"/>
  <c r="R279" i="1" a="1"/>
  <c r="J237" i="1" a="1"/>
  <c r="BF229" i="1" a="1"/>
  <c r="BL238" i="1" a="1"/>
  <c r="N196" i="1" a="1"/>
  <c r="CC237" i="1" a="1"/>
  <c r="BZ238" i="1" a="1"/>
  <c r="E208" i="1" a="1"/>
  <c r="M238" i="1" a="1"/>
  <c r="CA238" i="1" a="1"/>
  <c r="L195" i="1" a="1"/>
  <c r="D279" i="1" a="1"/>
  <c r="BX238" i="1" a="1"/>
  <c r="J224" i="1" a="1"/>
  <c r="K16" i="7" a="1"/>
  <c r="G16" i="7" a="1"/>
  <c r="K16" i="7" l="1"/>
  <c r="G16" i="7"/>
  <c r="J233" i="1"/>
  <c r="L233" i="1" s="1"/>
  <c r="U281" i="1"/>
  <c r="U280" i="1"/>
  <c r="U278" i="1"/>
  <c r="M285" i="1"/>
  <c r="R284" i="1"/>
  <c r="O284" i="1"/>
  <c r="F285" i="1"/>
  <c r="K284" i="1"/>
  <c r="Q284" i="1"/>
  <c r="P284" i="1"/>
  <c r="I285" i="1"/>
  <c r="G284" i="1"/>
  <c r="J284" i="1"/>
  <c r="F284" i="1"/>
  <c r="L284" i="1"/>
  <c r="K285" i="1"/>
  <c r="J285" i="1"/>
  <c r="N284" i="1"/>
  <c r="N285" i="1"/>
  <c r="E285" i="1"/>
  <c r="L285" i="1"/>
  <c r="I284" i="1"/>
  <c r="R285" i="1"/>
  <c r="H284" i="1"/>
  <c r="Q285" i="1"/>
  <c r="P285" i="1"/>
  <c r="H285" i="1"/>
  <c r="O285" i="1"/>
  <c r="G285" i="1"/>
  <c r="M284" i="1"/>
  <c r="E284" i="1"/>
  <c r="D285" i="1"/>
  <c r="D284" i="1"/>
  <c r="D278" i="1"/>
  <c r="U279" i="1"/>
  <c r="X190" i="1"/>
  <c r="G279" i="1"/>
  <c r="R279" i="1"/>
  <c r="Q279" i="1"/>
  <c r="P279" i="1"/>
  <c r="O279" i="1"/>
  <c r="L279" i="1"/>
  <c r="K279" i="1"/>
  <c r="N279" i="1"/>
  <c r="F279" i="1"/>
  <c r="I279" i="1"/>
  <c r="J279" i="1"/>
  <c r="H279" i="1"/>
  <c r="M279" i="1"/>
  <c r="E279" i="1"/>
  <c r="D279" i="1"/>
  <c r="O278" i="1"/>
  <c r="Q278" i="1"/>
  <c r="G278" i="1"/>
  <c r="J278" i="1"/>
  <c r="I278" i="1"/>
  <c r="N278" i="1"/>
  <c r="F278" i="1"/>
  <c r="K278" i="1"/>
  <c r="H278" i="1"/>
  <c r="L278" i="1"/>
  <c r="R278" i="1"/>
  <c r="P278" i="1"/>
  <c r="M278" i="1"/>
  <c r="E278" i="1"/>
  <c r="D189" i="1"/>
  <c r="L243" i="1"/>
  <c r="L242" i="1"/>
  <c r="J234" i="1"/>
  <c r="H250" i="1"/>
  <c r="D251" i="1" s="1"/>
  <c r="F250" i="1" s="1"/>
  <c r="J243" i="1"/>
  <c r="I181" i="1"/>
  <c r="J182" i="1" s="1"/>
  <c r="X203" i="1"/>
  <c r="X202" i="1"/>
  <c r="N208" i="1"/>
  <c r="F208" i="1"/>
  <c r="L207" i="1"/>
  <c r="E208" i="1"/>
  <c r="L208" i="1"/>
  <c r="G207" i="1"/>
  <c r="R208" i="1"/>
  <c r="J208" i="1"/>
  <c r="P207" i="1"/>
  <c r="H207" i="1"/>
  <c r="Q208" i="1"/>
  <c r="P208" i="1"/>
  <c r="H208" i="1"/>
  <c r="N207" i="1"/>
  <c r="F207" i="1"/>
  <c r="M208" i="1"/>
  <c r="K207" i="1"/>
  <c r="R207" i="1"/>
  <c r="J207" i="1"/>
  <c r="K208" i="1"/>
  <c r="Q207" i="1"/>
  <c r="I207" i="1"/>
  <c r="O207" i="1"/>
  <c r="I208" i="1"/>
  <c r="O208" i="1"/>
  <c r="G208" i="1"/>
  <c r="M207" i="1"/>
  <c r="E207" i="1"/>
  <c r="D208" i="1"/>
  <c r="D207" i="1"/>
  <c r="X201" i="1"/>
  <c r="X200" i="1"/>
  <c r="L201" i="1"/>
  <c r="M202" i="1"/>
  <c r="E202" i="1"/>
  <c r="K201" i="1"/>
  <c r="L202" i="1"/>
  <c r="R201" i="1"/>
  <c r="J201" i="1"/>
  <c r="H201" i="1"/>
  <c r="I201" i="1"/>
  <c r="P201" i="1"/>
  <c r="Q202" i="1"/>
  <c r="I202" i="1"/>
  <c r="O201" i="1"/>
  <c r="G201" i="1"/>
  <c r="N202" i="1"/>
  <c r="Q201" i="1"/>
  <c r="J202" i="1"/>
  <c r="P202" i="1"/>
  <c r="H202" i="1"/>
  <c r="N201" i="1"/>
  <c r="F201" i="1"/>
  <c r="F202" i="1"/>
  <c r="K202" i="1"/>
  <c r="R202" i="1"/>
  <c r="O202" i="1"/>
  <c r="G202" i="1"/>
  <c r="M201" i="1"/>
  <c r="E201" i="1"/>
  <c r="D202" i="1"/>
  <c r="D201" i="1"/>
  <c r="K196" i="1"/>
  <c r="L196" i="1"/>
  <c r="R196" i="1"/>
  <c r="J196" i="1"/>
  <c r="H196" i="1"/>
  <c r="I196" i="1"/>
  <c r="O196" i="1"/>
  <c r="G196" i="1"/>
  <c r="P196" i="1"/>
  <c r="Q196" i="1"/>
  <c r="N196" i="1"/>
  <c r="F196" i="1"/>
  <c r="M196" i="1"/>
  <c r="E196" i="1"/>
  <c r="D196" i="1"/>
  <c r="O195" i="1"/>
  <c r="G195" i="1"/>
  <c r="N195" i="1"/>
  <c r="F195" i="1"/>
  <c r="M195" i="1"/>
  <c r="E195" i="1"/>
  <c r="L195" i="1"/>
  <c r="K195" i="1"/>
  <c r="R195" i="1"/>
  <c r="J195" i="1"/>
  <c r="Q195" i="1"/>
  <c r="I195" i="1"/>
  <c r="P195" i="1"/>
  <c r="H195" i="1"/>
  <c r="D195" i="1"/>
  <c r="X193" i="1"/>
  <c r="X192" i="1"/>
  <c r="X191" i="1"/>
  <c r="K190" i="1"/>
  <c r="Q190" i="1"/>
  <c r="L190" i="1"/>
  <c r="R190" i="1"/>
  <c r="J190" i="1"/>
  <c r="I190" i="1"/>
  <c r="P190" i="1"/>
  <c r="H190" i="1"/>
  <c r="O190" i="1"/>
  <c r="G190" i="1"/>
  <c r="N190" i="1"/>
  <c r="F190" i="1"/>
  <c r="M190" i="1"/>
  <c r="E190" i="1"/>
  <c r="D190" i="1"/>
  <c r="L189" i="1"/>
  <c r="K189" i="1"/>
  <c r="R189" i="1"/>
  <c r="Q189" i="1"/>
  <c r="P189" i="1"/>
  <c r="N189" i="1"/>
  <c r="J189" i="1"/>
  <c r="I189" i="1"/>
  <c r="H189" i="1"/>
  <c r="O189" i="1"/>
  <c r="G189" i="1"/>
  <c r="F189" i="1"/>
  <c r="M189" i="1"/>
  <c r="E189" i="1"/>
  <c r="E181" i="1"/>
  <c r="F182" i="1" s="1"/>
  <c r="AZ237" i="1"/>
  <c r="AZ239" i="1" s="1"/>
  <c r="CD238" i="1"/>
  <c r="BX237" i="1"/>
  <c r="BX239" i="1" s="1"/>
  <c r="CC238" i="1"/>
  <c r="AO238" i="1"/>
  <c r="CE237" i="1"/>
  <c r="CE239" i="1" s="1"/>
  <c r="AI237" i="1"/>
  <c r="AI239" i="1" s="1"/>
  <c r="AA237" i="1"/>
  <c r="AA239" i="1" s="1"/>
  <c r="S237" i="1"/>
  <c r="S239" i="1" s="1"/>
  <c r="K237" i="1"/>
  <c r="K239" i="1" s="1"/>
  <c r="J238" i="1"/>
  <c r="AG238" i="1"/>
  <c r="BD238" i="1"/>
  <c r="AN238" i="1"/>
  <c r="P238" i="1"/>
  <c r="CT237" i="1"/>
  <c r="CT239" i="1" s="1"/>
  <c r="BV237" i="1"/>
  <c r="BV239" i="1" s="1"/>
  <c r="AX237" i="1"/>
  <c r="AX239" i="1" s="1"/>
  <c r="AH237" i="1"/>
  <c r="AH239" i="1" s="1"/>
  <c r="J237" i="1"/>
  <c r="J239" i="1" s="1"/>
  <c r="BF238" i="1"/>
  <c r="L237" i="1"/>
  <c r="L239" i="1" s="1"/>
  <c r="BE238" i="1"/>
  <c r="BG237" i="1"/>
  <c r="BG239" i="1" s="1"/>
  <c r="BL238" i="1"/>
  <c r="AV238" i="1"/>
  <c r="AF238" i="1"/>
  <c r="X238" i="1"/>
  <c r="H238" i="1"/>
  <c r="CL237" i="1"/>
  <c r="CL239" i="1" s="1"/>
  <c r="CD237" i="1"/>
  <c r="CD239" i="1" s="1"/>
  <c r="BN237" i="1"/>
  <c r="BN239" i="1" s="1"/>
  <c r="BF237" i="1"/>
  <c r="BF239" i="1" s="1"/>
  <c r="AP237" i="1"/>
  <c r="AP239" i="1" s="1"/>
  <c r="Z237" i="1"/>
  <c r="Z239" i="1" s="1"/>
  <c r="R237" i="1"/>
  <c r="R239" i="1" s="1"/>
  <c r="CV237" i="1"/>
  <c r="CV239" i="1" s="1"/>
  <c r="BW237" i="1"/>
  <c r="BW239" i="1" s="1"/>
  <c r="AU238" i="1"/>
  <c r="AE238" i="1"/>
  <c r="O238" i="1"/>
  <c r="CS237" i="1"/>
  <c r="CS239" i="1" s="1"/>
  <c r="BU237" i="1"/>
  <c r="BU239" i="1" s="1"/>
  <c r="AO237" i="1"/>
  <c r="AO239" i="1" s="1"/>
  <c r="I237" i="1"/>
  <c r="I239" i="1" s="1"/>
  <c r="AX238" i="1"/>
  <c r="T237" i="1"/>
  <c r="T239" i="1" s="1"/>
  <c r="CK238" i="1"/>
  <c r="Q238" i="1"/>
  <c r="CB238" i="1"/>
  <c r="BC238" i="1"/>
  <c r="AM238" i="1"/>
  <c r="W238" i="1"/>
  <c r="G238" i="1"/>
  <c r="CK237" i="1"/>
  <c r="CK239" i="1" s="1"/>
  <c r="CC237" i="1"/>
  <c r="CC239" i="1" s="1"/>
  <c r="BM237" i="1"/>
  <c r="BM239" i="1" s="1"/>
  <c r="BE237" i="1"/>
  <c r="BE239" i="1" s="1"/>
  <c r="AW237" i="1"/>
  <c r="AW239" i="1" s="1"/>
  <c r="AG237" i="1"/>
  <c r="AG239" i="1" s="1"/>
  <c r="Y237" i="1"/>
  <c r="Y239" i="1" s="1"/>
  <c r="Q237" i="1"/>
  <c r="Q239" i="1" s="1"/>
  <c r="Z238" i="1"/>
  <c r="AB237" i="1"/>
  <c r="AB239" i="1" s="1"/>
  <c r="BU238" i="1"/>
  <c r="BO237" i="1"/>
  <c r="BO239" i="1" s="1"/>
  <c r="CI238" i="1"/>
  <c r="CH238" i="1"/>
  <c r="AT238" i="1"/>
  <c r="AD238" i="1"/>
  <c r="N238" i="1"/>
  <c r="F238" i="1"/>
  <c r="CJ237" i="1"/>
  <c r="CJ239" i="1" s="1"/>
  <c r="CB237" i="1"/>
  <c r="CB239" i="1" s="1"/>
  <c r="BT237" i="1"/>
  <c r="BT239" i="1" s="1"/>
  <c r="BL237" i="1"/>
  <c r="BL239" i="1" s="1"/>
  <c r="BD237" i="1"/>
  <c r="BD239" i="1" s="1"/>
  <c r="AV237" i="1"/>
  <c r="AV239" i="1" s="1"/>
  <c r="AN237" i="1"/>
  <c r="AN239" i="1" s="1"/>
  <c r="AF237" i="1"/>
  <c r="AF239" i="1" s="1"/>
  <c r="P237" i="1"/>
  <c r="P239" i="1" s="1"/>
  <c r="H237" i="1"/>
  <c r="H239" i="1" s="1"/>
  <c r="CT238" i="1"/>
  <c r="AH238" i="1"/>
  <c r="BH237" i="1"/>
  <c r="BH239" i="1" s="1"/>
  <c r="CM237" i="1"/>
  <c r="CM239" i="1" s="1"/>
  <c r="CJ238" i="1"/>
  <c r="CQ238" i="1"/>
  <c r="CX238" i="1"/>
  <c r="BR238" i="1"/>
  <c r="V238" i="1"/>
  <c r="CR237" i="1"/>
  <c r="CR239" i="1" s="1"/>
  <c r="X237" i="1"/>
  <c r="X239" i="1" s="1"/>
  <c r="CL238" i="1"/>
  <c r="R238" i="1"/>
  <c r="CF237" i="1"/>
  <c r="CF239" i="1" s="1"/>
  <c r="Y238" i="1"/>
  <c r="BT238" i="1"/>
  <c r="BZ238" i="1"/>
  <c r="CW238" i="1"/>
  <c r="CO238" i="1"/>
  <c r="BY238" i="1"/>
  <c r="BQ238" i="1"/>
  <c r="BI238" i="1"/>
  <c r="BA238" i="1"/>
  <c r="AS238" i="1"/>
  <c r="AK238" i="1"/>
  <c r="AC238" i="1"/>
  <c r="M238" i="1"/>
  <c r="E238" i="1"/>
  <c r="CQ237" i="1"/>
  <c r="CQ239" i="1" s="1"/>
  <c r="CI237" i="1"/>
  <c r="CI239" i="1" s="1"/>
  <c r="CA237" i="1"/>
  <c r="CA239" i="1" s="1"/>
  <c r="BS237" i="1"/>
  <c r="BS239" i="1" s="1"/>
  <c r="BK237" i="1"/>
  <c r="BK239" i="1" s="1"/>
  <c r="BC237" i="1"/>
  <c r="BC239" i="1" s="1"/>
  <c r="AU237" i="1"/>
  <c r="AU239" i="1" s="1"/>
  <c r="AM237" i="1"/>
  <c r="AM239" i="1" s="1"/>
  <c r="AE237" i="1"/>
  <c r="AE239" i="1" s="1"/>
  <c r="W237" i="1"/>
  <c r="W239" i="1" s="1"/>
  <c r="O237" i="1"/>
  <c r="O239" i="1" s="1"/>
  <c r="G237" i="1"/>
  <c r="G239" i="1" s="1"/>
  <c r="BV238" i="1"/>
  <c r="BP237" i="1"/>
  <c r="BP239" i="1" s="1"/>
  <c r="CS238" i="1"/>
  <c r="CU237" i="1"/>
  <c r="CU239" i="1" s="1"/>
  <c r="CR238" i="1"/>
  <c r="CA238" i="1"/>
  <c r="CP238" i="1"/>
  <c r="AL238" i="1"/>
  <c r="CG238" i="1"/>
  <c r="U238" i="1"/>
  <c r="CN237" i="1"/>
  <c r="CN239" i="1" s="1"/>
  <c r="I238" i="1"/>
  <c r="CF238" i="1"/>
  <c r="BH238" i="1"/>
  <c r="AZ238" i="1"/>
  <c r="AR238" i="1"/>
  <c r="AJ238" i="1"/>
  <c r="AB238" i="1"/>
  <c r="L238" i="1"/>
  <c r="CX237" i="1"/>
  <c r="CX239" i="1" s="1"/>
  <c r="CP237" i="1"/>
  <c r="CP239" i="1" s="1"/>
  <c r="CH237" i="1"/>
  <c r="CH239" i="1" s="1"/>
  <c r="BZ237" i="1"/>
  <c r="BZ239" i="1" s="1"/>
  <c r="BR237" i="1"/>
  <c r="BR239" i="1" s="1"/>
  <c r="BJ237" i="1"/>
  <c r="BJ239" i="1" s="1"/>
  <c r="BB237" i="1"/>
  <c r="BB239" i="1" s="1"/>
  <c r="AT237" i="1"/>
  <c r="AT239" i="1" s="1"/>
  <c r="AL237" i="1"/>
  <c r="AL239" i="1" s="1"/>
  <c r="AD237" i="1"/>
  <c r="AD239" i="1" s="1"/>
  <c r="V237" i="1"/>
  <c r="V239" i="1" s="1"/>
  <c r="N237" i="1"/>
  <c r="N239" i="1" s="1"/>
  <c r="F237" i="1"/>
  <c r="F239" i="1" s="1"/>
  <c r="AP238" i="1"/>
  <c r="AJ237" i="1"/>
  <c r="AJ239" i="1" s="1"/>
  <c r="BM238" i="1"/>
  <c r="AQ237" i="1"/>
  <c r="AQ239" i="1" s="1"/>
  <c r="BS238" i="1"/>
  <c r="BJ238" i="1"/>
  <c r="CN238" i="1"/>
  <c r="BX238" i="1"/>
  <c r="T238" i="1"/>
  <c r="BN238" i="1"/>
  <c r="AR237" i="1"/>
  <c r="AR239" i="1" s="1"/>
  <c r="AW238" i="1"/>
  <c r="AY237" i="1"/>
  <c r="AY239" i="1" s="1"/>
  <c r="BK238" i="1"/>
  <c r="BB238" i="1"/>
  <c r="CV238" i="1"/>
  <c r="BP238" i="1"/>
  <c r="CU238" i="1"/>
  <c r="CM238" i="1"/>
  <c r="CE238" i="1"/>
  <c r="BW238" i="1"/>
  <c r="BO238" i="1"/>
  <c r="BG238" i="1"/>
  <c r="AY238" i="1"/>
  <c r="AQ238" i="1"/>
  <c r="AI238" i="1"/>
  <c r="AA238" i="1"/>
  <c r="S238" i="1"/>
  <c r="K238" i="1"/>
  <c r="CW237" i="1"/>
  <c r="CW239" i="1" s="1"/>
  <c r="CO237" i="1"/>
  <c r="CO239" i="1" s="1"/>
  <c r="CG237" i="1"/>
  <c r="CG239" i="1" s="1"/>
  <c r="BY237" i="1"/>
  <c r="BY239" i="1" s="1"/>
  <c r="BQ237" i="1"/>
  <c r="BQ239" i="1" s="1"/>
  <c r="BI237" i="1"/>
  <c r="BI239" i="1" s="1"/>
  <c r="BA237" i="1"/>
  <c r="BA239" i="1" s="1"/>
  <c r="AS237" i="1"/>
  <c r="AS239" i="1" s="1"/>
  <c r="AK237" i="1"/>
  <c r="AK239" i="1" s="1"/>
  <c r="AC237" i="1"/>
  <c r="AC239" i="1" s="1"/>
  <c r="U237" i="1"/>
  <c r="U239" i="1" s="1"/>
  <c r="M237" i="1"/>
  <c r="M239" i="1" s="1"/>
  <c r="E237" i="1"/>
  <c r="E239" i="1" s="1"/>
  <c r="D238" i="1"/>
  <c r="D237" i="1"/>
  <c r="D239" i="1" s="1"/>
  <c r="D228" i="1"/>
  <c r="CV229" i="1"/>
  <c r="BH229" i="1"/>
  <c r="J229" i="1"/>
  <c r="AZ229" i="1"/>
  <c r="K229" i="1"/>
  <c r="BN229" i="1"/>
  <c r="CN229" i="1"/>
  <c r="CE229" i="1"/>
  <c r="CL229" i="1"/>
  <c r="BE229" i="1"/>
  <c r="I229" i="1"/>
  <c r="L229" i="1"/>
  <c r="CU229" i="1"/>
  <c r="AA229" i="1"/>
  <c r="AH229" i="1"/>
  <c r="BM229" i="1"/>
  <c r="AW229" i="1"/>
  <c r="AO229" i="1"/>
  <c r="AG229" i="1"/>
  <c r="Y229" i="1"/>
  <c r="Q229" i="1"/>
  <c r="AJ229" i="1"/>
  <c r="AQ229" i="1"/>
  <c r="AX229" i="1"/>
  <c r="CR229" i="1"/>
  <c r="BL229" i="1"/>
  <c r="BD229" i="1"/>
  <c r="AV229" i="1"/>
  <c r="AN229" i="1"/>
  <c r="AF229" i="1"/>
  <c r="X229" i="1"/>
  <c r="H229" i="1"/>
  <c r="AB229" i="1"/>
  <c r="S229" i="1"/>
  <c r="AP229" i="1"/>
  <c r="P229" i="1"/>
  <c r="AR229" i="1"/>
  <c r="BO229" i="1"/>
  <c r="R229" i="1"/>
  <c r="CS229" i="1"/>
  <c r="CJ229" i="1"/>
  <c r="CI229" i="1"/>
  <c r="CA229" i="1"/>
  <c r="BS229" i="1"/>
  <c r="BK229" i="1"/>
  <c r="BC229" i="1"/>
  <c r="AM229" i="1"/>
  <c r="AE229" i="1"/>
  <c r="W229" i="1"/>
  <c r="O229" i="1"/>
  <c r="G229" i="1"/>
  <c r="BP229" i="1"/>
  <c r="BW229" i="1"/>
  <c r="CD229" i="1"/>
  <c r="CC229" i="1"/>
  <c r="AU229" i="1"/>
  <c r="CF229" i="1"/>
  <c r="BG229" i="1"/>
  <c r="BF229" i="1"/>
  <c r="CB229" i="1"/>
  <c r="CX229" i="1"/>
  <c r="CP229" i="1"/>
  <c r="CH229" i="1"/>
  <c r="BZ229" i="1"/>
  <c r="BJ229" i="1"/>
  <c r="BB229" i="1"/>
  <c r="AT229" i="1"/>
  <c r="AL229" i="1"/>
  <c r="AD229" i="1"/>
  <c r="V229" i="1"/>
  <c r="N229" i="1"/>
  <c r="F229" i="1"/>
  <c r="BX229" i="1"/>
  <c r="AY229" i="1"/>
  <c r="BV229" i="1"/>
  <c r="CK229" i="1"/>
  <c r="BR229" i="1"/>
  <c r="T229" i="1"/>
  <c r="CM229" i="1"/>
  <c r="AI229" i="1"/>
  <c r="CT229" i="1"/>
  <c r="Z229" i="1"/>
  <c r="BU229" i="1"/>
  <c r="BT229" i="1"/>
  <c r="CQ229" i="1"/>
  <c r="CW229" i="1"/>
  <c r="CO229" i="1"/>
  <c r="CG229" i="1"/>
  <c r="BY229" i="1"/>
  <c r="BQ229" i="1"/>
  <c r="BI229" i="1"/>
  <c r="BA229" i="1"/>
  <c r="AS229" i="1"/>
  <c r="AK229" i="1"/>
  <c r="AC229" i="1"/>
  <c r="U229" i="1"/>
  <c r="M229" i="1"/>
  <c r="E229" i="1"/>
  <c r="D229" i="1"/>
  <c r="CV228" i="1"/>
  <c r="BX228" i="1"/>
  <c r="T228" i="1"/>
  <c r="CM228" i="1"/>
  <c r="AA228" i="1"/>
  <c r="CT228" i="1"/>
  <c r="AX228" i="1"/>
  <c r="AX230" i="1" s="1"/>
  <c r="BU228" i="1"/>
  <c r="BU230" i="1" s="1"/>
  <c r="X228" i="1"/>
  <c r="X230" i="1" s="1"/>
  <c r="BH228" i="1"/>
  <c r="BH230" i="1" s="1"/>
  <c r="AB228" i="1"/>
  <c r="CU228" i="1"/>
  <c r="BG228" i="1"/>
  <c r="AQ228" i="1"/>
  <c r="BN228" i="1"/>
  <c r="J228" i="1"/>
  <c r="BM228" i="1"/>
  <c r="I228" i="1"/>
  <c r="CB228" i="1"/>
  <c r="BD228" i="1"/>
  <c r="P228" i="1"/>
  <c r="CQ228" i="1"/>
  <c r="CI228" i="1"/>
  <c r="CI230" i="1" s="1"/>
  <c r="BS228" i="1"/>
  <c r="BS230" i="1" s="1"/>
  <c r="BK228" i="1"/>
  <c r="BK230" i="1" s="1"/>
  <c r="BC228" i="1"/>
  <c r="BC230" i="1" s="1"/>
  <c r="AU228" i="1"/>
  <c r="AM228" i="1"/>
  <c r="AE228" i="1"/>
  <c r="W228" i="1"/>
  <c r="O228" i="1"/>
  <c r="G228" i="1"/>
  <c r="CN228" i="1"/>
  <c r="AZ228" i="1"/>
  <c r="AR228" i="1"/>
  <c r="CE228" i="1"/>
  <c r="AI228" i="1"/>
  <c r="BF228" i="1"/>
  <c r="AH228" i="1"/>
  <c r="AH230" i="1" s="1"/>
  <c r="CK228" i="1"/>
  <c r="CK230" i="1" s="1"/>
  <c r="BE228" i="1"/>
  <c r="BE230" i="1" s="1"/>
  <c r="AG228" i="1"/>
  <c r="AG230" i="1" s="1"/>
  <c r="CR228" i="1"/>
  <c r="BL228" i="1"/>
  <c r="AF228" i="1"/>
  <c r="CA228" i="1"/>
  <c r="BP228" i="1"/>
  <c r="AJ228" i="1"/>
  <c r="BW228" i="1"/>
  <c r="S228" i="1"/>
  <c r="BV228" i="1"/>
  <c r="R228" i="1"/>
  <c r="CC228" i="1"/>
  <c r="Q228" i="1"/>
  <c r="CJ228" i="1"/>
  <c r="CJ230" i="1" s="1"/>
  <c r="AV228" i="1"/>
  <c r="AV230" i="1" s="1"/>
  <c r="H228" i="1"/>
  <c r="H230" i="1" s="1"/>
  <c r="CX228" i="1"/>
  <c r="CX230" i="1" s="1"/>
  <c r="CH228" i="1"/>
  <c r="BZ228" i="1"/>
  <c r="BR228" i="1"/>
  <c r="BJ228" i="1"/>
  <c r="BB228" i="1"/>
  <c r="AT228" i="1"/>
  <c r="AL228" i="1"/>
  <c r="AD228" i="1"/>
  <c r="V228" i="1"/>
  <c r="N228" i="1"/>
  <c r="F228" i="1"/>
  <c r="CF228" i="1"/>
  <c r="L228" i="1"/>
  <c r="L230" i="1" s="1"/>
  <c r="BO228" i="1"/>
  <c r="BO230" i="1" s="1"/>
  <c r="K228" i="1"/>
  <c r="K230" i="1" s="1"/>
  <c r="CD228" i="1"/>
  <c r="CD230" i="1" s="1"/>
  <c r="Z228" i="1"/>
  <c r="CS228" i="1"/>
  <c r="AW228" i="1"/>
  <c r="Y228" i="1"/>
  <c r="BT228" i="1"/>
  <c r="AN228" i="1"/>
  <c r="CP228" i="1"/>
  <c r="AY228" i="1"/>
  <c r="CL228" i="1"/>
  <c r="AP228" i="1"/>
  <c r="AO228" i="1"/>
  <c r="CW228" i="1"/>
  <c r="CO228" i="1"/>
  <c r="CO230" i="1" s="1"/>
  <c r="CG228" i="1"/>
  <c r="CG230" i="1" s="1"/>
  <c r="BY228" i="1"/>
  <c r="BY230" i="1" s="1"/>
  <c r="BQ228" i="1"/>
  <c r="BQ230" i="1" s="1"/>
  <c r="BI228" i="1"/>
  <c r="BA228" i="1"/>
  <c r="AS228" i="1"/>
  <c r="AK228" i="1"/>
  <c r="AC228" i="1"/>
  <c r="U228" i="1"/>
  <c r="M228" i="1"/>
  <c r="E228" i="1"/>
  <c r="J225" i="1"/>
  <c r="J224" i="1"/>
  <c r="CY21" i="1"/>
  <c r="CY7" i="1" s="1"/>
  <c r="CY211" i="1"/>
  <c r="CU211" i="1"/>
  <c r="CY23" i="1"/>
  <c r="CZ7" i="1" s="1"/>
  <c r="CY73" i="1"/>
  <c r="O16" i="7" l="1"/>
  <c r="J287" i="1"/>
  <c r="F281" i="1"/>
  <c r="G287" i="1"/>
  <c r="J286" i="1"/>
  <c r="O287" i="1"/>
  <c r="G286" i="1"/>
  <c r="H287" i="1"/>
  <c r="I287" i="1"/>
  <c r="P287" i="1"/>
  <c r="I286" i="1"/>
  <c r="Q287" i="1"/>
  <c r="P286" i="1"/>
  <c r="Q286" i="1"/>
  <c r="H286" i="1"/>
  <c r="K286" i="1"/>
  <c r="D258" i="1"/>
  <c r="E258" i="1" s="1"/>
  <c r="D250" i="1"/>
  <c r="E250" i="1" s="1"/>
  <c r="D266" i="1"/>
  <c r="D274" i="1"/>
  <c r="E274" i="1" s="1"/>
  <c r="J281" i="1"/>
  <c r="E286" i="1"/>
  <c r="L286" i="1"/>
  <c r="I281" i="1"/>
  <c r="M286" i="1"/>
  <c r="F286" i="1"/>
  <c r="CF230" i="1"/>
  <c r="BF230" i="1"/>
  <c r="CQ230" i="1"/>
  <c r="F230" i="1"/>
  <c r="AI230" i="1"/>
  <c r="AA230" i="1"/>
  <c r="N230" i="1"/>
  <c r="CE230" i="1"/>
  <c r="CM230" i="1"/>
  <c r="BV230" i="1"/>
  <c r="T230" i="1"/>
  <c r="E230" i="1"/>
  <c r="AD230" i="1"/>
  <c r="AZ230" i="1"/>
  <c r="BX230" i="1"/>
  <c r="CP230" i="1"/>
  <c r="BW230" i="1"/>
  <c r="CN230" i="1"/>
  <c r="CV230" i="1"/>
  <c r="U230" i="1"/>
  <c r="AT230" i="1"/>
  <c r="G230" i="1"/>
  <c r="L234" i="1"/>
  <c r="BT230" i="1"/>
  <c r="O230" i="1"/>
  <c r="AK230" i="1"/>
  <c r="BJ230" i="1"/>
  <c r="CA230" i="1"/>
  <c r="AQ230" i="1"/>
  <c r="AW230" i="1"/>
  <c r="AF230" i="1"/>
  <c r="BG230" i="1"/>
  <c r="BA230" i="1"/>
  <c r="CS230" i="1"/>
  <c r="BZ230" i="1"/>
  <c r="BL230" i="1"/>
  <c r="AM230" i="1"/>
  <c r="CU230" i="1"/>
  <c r="CW230" i="1"/>
  <c r="Q230" i="1"/>
  <c r="CT230" i="1"/>
  <c r="AO230" i="1"/>
  <c r="CC230" i="1"/>
  <c r="P230" i="1"/>
  <c r="AP230" i="1"/>
  <c r="R230" i="1"/>
  <c r="BD230" i="1"/>
  <c r="CL230" i="1"/>
  <c r="V230" i="1"/>
  <c r="AR230" i="1"/>
  <c r="CB230" i="1"/>
  <c r="AY230" i="1"/>
  <c r="S230" i="1"/>
  <c r="I230" i="1"/>
  <c r="M230" i="1"/>
  <c r="AL230" i="1"/>
  <c r="BM230" i="1"/>
  <c r="AN230" i="1"/>
  <c r="AJ230" i="1"/>
  <c r="J230" i="1"/>
  <c r="AC230" i="1"/>
  <c r="BB230" i="1"/>
  <c r="BP230" i="1"/>
  <c r="BN230" i="1"/>
  <c r="Y230" i="1"/>
  <c r="W230" i="1"/>
  <c r="AS230" i="1"/>
  <c r="BR230" i="1"/>
  <c r="AE230" i="1"/>
  <c r="D230" i="1"/>
  <c r="BI230" i="1"/>
  <c r="Z230" i="1"/>
  <c r="CH230" i="1"/>
  <c r="CR230" i="1"/>
  <c r="AU230" i="1"/>
  <c r="AB230" i="1"/>
  <c r="N281" i="1"/>
  <c r="K281" i="1"/>
  <c r="R281" i="1"/>
  <c r="G281" i="1"/>
  <c r="L281" i="1"/>
  <c r="O281" i="1"/>
  <c r="D281" i="1"/>
  <c r="N286" i="1"/>
  <c r="P281" i="1"/>
  <c r="Q281" i="1"/>
  <c r="U231" i="1"/>
  <c r="AI231" i="1"/>
  <c r="BZ231" i="1"/>
  <c r="AE231" i="1"/>
  <c r="H231" i="1"/>
  <c r="BM231" i="1"/>
  <c r="AC231" i="1"/>
  <c r="CM231" i="1"/>
  <c r="CH231" i="1"/>
  <c r="AM231" i="1"/>
  <c r="X231" i="1"/>
  <c r="AH231" i="1"/>
  <c r="AK231" i="1"/>
  <c r="T231" i="1"/>
  <c r="CP231" i="1"/>
  <c r="BC231" i="1"/>
  <c r="AF231" i="1"/>
  <c r="AA231" i="1"/>
  <c r="K240" i="1"/>
  <c r="CF240" i="1"/>
  <c r="BQ240" i="1"/>
  <c r="CJ240" i="1"/>
  <c r="N240" i="1"/>
  <c r="AU240" i="1"/>
  <c r="BE240" i="1"/>
  <c r="S240" i="1"/>
  <c r="AW240" i="1"/>
  <c r="I240" i="1"/>
  <c r="BY240" i="1"/>
  <c r="AD240" i="1"/>
  <c r="G240" i="1"/>
  <c r="D240" i="1"/>
  <c r="AA240" i="1"/>
  <c r="CO240" i="1"/>
  <c r="AT240" i="1"/>
  <c r="W240" i="1"/>
  <c r="BF240" i="1"/>
  <c r="AO240" i="1"/>
  <c r="O286" i="1"/>
  <c r="R286" i="1"/>
  <c r="CG231" i="1"/>
  <c r="F231" i="1"/>
  <c r="AU231" i="1"/>
  <c r="CS231" i="1"/>
  <c r="AX231" i="1"/>
  <c r="CE231" i="1"/>
  <c r="CO231" i="1"/>
  <c r="N231" i="1"/>
  <c r="CC231" i="1"/>
  <c r="R231" i="1"/>
  <c r="AQ231" i="1"/>
  <c r="CN231" i="1"/>
  <c r="D267" i="1"/>
  <c r="D275" i="1"/>
  <c r="F275" i="1" s="1"/>
  <c r="BI231" i="1"/>
  <c r="BV231" i="1"/>
  <c r="BF231" i="1"/>
  <c r="CA231" i="1"/>
  <c r="BD231" i="1"/>
  <c r="I231" i="1"/>
  <c r="D286" i="1"/>
  <c r="CW231" i="1"/>
  <c r="V231" i="1"/>
  <c r="CD231" i="1"/>
  <c r="BO231" i="1"/>
  <c r="AJ231" i="1"/>
  <c r="BN231" i="1"/>
  <c r="L287" i="1"/>
  <c r="M287" i="1"/>
  <c r="E287" i="1"/>
  <c r="D287" i="1"/>
  <c r="K287" i="1"/>
  <c r="R287" i="1"/>
  <c r="F287" i="1"/>
  <c r="N287" i="1"/>
  <c r="AY240" i="1"/>
  <c r="BX240" i="1"/>
  <c r="AL240" i="1"/>
  <c r="BT240" i="1"/>
  <c r="CB240" i="1"/>
  <c r="CD240" i="1"/>
  <c r="D259" i="1"/>
  <c r="F259" i="1" s="1"/>
  <c r="D231" i="1"/>
  <c r="AP231" i="1"/>
  <c r="CQ231" i="1"/>
  <c r="AD231" i="1"/>
  <c r="BW231" i="1"/>
  <c r="AR231" i="1"/>
  <c r="Q231" i="1"/>
  <c r="K231" i="1"/>
  <c r="BT231" i="1"/>
  <c r="AL231" i="1"/>
  <c r="BP231" i="1"/>
  <c r="P231" i="1"/>
  <c r="Y231" i="1"/>
  <c r="AZ231" i="1"/>
  <c r="E281" i="1"/>
  <c r="D280" i="1"/>
  <c r="AT231" i="1"/>
  <c r="AG231" i="1"/>
  <c r="E231" i="1"/>
  <c r="Z231" i="1"/>
  <c r="BB231" i="1"/>
  <c r="O231" i="1"/>
  <c r="S231" i="1"/>
  <c r="AO231" i="1"/>
  <c r="BH231" i="1"/>
  <c r="M281" i="1"/>
  <c r="BU231" i="1"/>
  <c r="G231" i="1"/>
  <c r="J231" i="1"/>
  <c r="M231" i="1"/>
  <c r="CT231" i="1"/>
  <c r="BJ231" i="1"/>
  <c r="W231" i="1"/>
  <c r="AB231" i="1"/>
  <c r="AW231" i="1"/>
  <c r="CV231" i="1"/>
  <c r="BK240" i="1"/>
  <c r="BH240" i="1"/>
  <c r="BI240" i="1"/>
  <c r="CQ240" i="1"/>
  <c r="F240" i="1"/>
  <c r="AE240" i="1"/>
  <c r="H281" i="1"/>
  <c r="BS240" i="1"/>
  <c r="P240" i="1"/>
  <c r="CL240" i="1"/>
  <c r="CM240" i="1"/>
  <c r="BM240" i="1"/>
  <c r="L240" i="1"/>
  <c r="CS240" i="1"/>
  <c r="M240" i="1"/>
  <c r="H240" i="1"/>
  <c r="BD240" i="1"/>
  <c r="Z240" i="1"/>
  <c r="X240" i="1"/>
  <c r="AG240" i="1"/>
  <c r="BW240" i="1"/>
  <c r="CR240" i="1"/>
  <c r="CE240" i="1"/>
  <c r="E240" i="1"/>
  <c r="AX240" i="1"/>
  <c r="CU240" i="1"/>
  <c r="BP240" i="1"/>
  <c r="AP240" i="1"/>
  <c r="AJ240" i="1"/>
  <c r="BV240" i="1"/>
  <c r="AK240" i="1"/>
  <c r="V240" i="1"/>
  <c r="AF240" i="1"/>
  <c r="J240" i="1"/>
  <c r="W282" i="1"/>
  <c r="W281" i="1"/>
  <c r="W278" i="1"/>
  <c r="W279" i="1"/>
  <c r="R240" i="1"/>
  <c r="AN240" i="1"/>
  <c r="AC240" i="1"/>
  <c r="CV240" i="1"/>
  <c r="AR240" i="1"/>
  <c r="AS240" i="1"/>
  <c r="BR240" i="1"/>
  <c r="AV240" i="1"/>
  <c r="Y279" i="1"/>
  <c r="Y278" i="1"/>
  <c r="AB240" i="1"/>
  <c r="BB240" i="1"/>
  <c r="AZ240" i="1"/>
  <c r="BA240" i="1"/>
  <c r="CX240" i="1"/>
  <c r="O240" i="1"/>
  <c r="BL240" i="1"/>
  <c r="Y282" i="1"/>
  <c r="Y281" i="1"/>
  <c r="J280" i="1"/>
  <c r="O280" i="1"/>
  <c r="Q280" i="1"/>
  <c r="I280" i="1"/>
  <c r="L280" i="1"/>
  <c r="P280" i="1"/>
  <c r="E280" i="1"/>
  <c r="H280" i="1"/>
  <c r="K280" i="1"/>
  <c r="N280" i="1"/>
  <c r="F280" i="1"/>
  <c r="M280" i="1"/>
  <c r="R280" i="1"/>
  <c r="G280" i="1"/>
  <c r="E266" i="1"/>
  <c r="E267" i="1"/>
  <c r="M243" i="1"/>
  <c r="M242" i="1"/>
  <c r="AS231" i="1"/>
  <c r="BR231" i="1"/>
  <c r="CX231" i="1"/>
  <c r="BK231" i="1"/>
  <c r="AN231" i="1"/>
  <c r="CU231" i="1"/>
  <c r="AI240" i="1"/>
  <c r="BN240" i="1"/>
  <c r="U240" i="1"/>
  <c r="CW240" i="1"/>
  <c r="AH240" i="1"/>
  <c r="CH240" i="1"/>
  <c r="AM240" i="1"/>
  <c r="CC240" i="1"/>
  <c r="BA231" i="1"/>
  <c r="CK231" i="1"/>
  <c r="CB231" i="1"/>
  <c r="BS231" i="1"/>
  <c r="AV231" i="1"/>
  <c r="L231" i="1"/>
  <c r="AQ240" i="1"/>
  <c r="T240" i="1"/>
  <c r="CG240" i="1"/>
  <c r="BZ240" i="1"/>
  <c r="CT240" i="1"/>
  <c r="CI240" i="1"/>
  <c r="BC240" i="1"/>
  <c r="M233" i="1"/>
  <c r="M234" i="1"/>
  <c r="BQ231" i="1"/>
  <c r="AY231" i="1"/>
  <c r="BG231" i="1"/>
  <c r="CI231" i="1"/>
  <c r="BL231" i="1"/>
  <c r="BE231" i="1"/>
  <c r="BG240" i="1"/>
  <c r="CN240" i="1"/>
  <c r="CP240" i="1"/>
  <c r="Y240" i="1"/>
  <c r="BU240" i="1"/>
  <c r="Q240" i="1"/>
  <c r="BY231" i="1"/>
  <c r="BX231" i="1"/>
  <c r="CF231" i="1"/>
  <c r="CJ231" i="1"/>
  <c r="CR231" i="1"/>
  <c r="CL231" i="1"/>
  <c r="BO240" i="1"/>
  <c r="BJ240" i="1"/>
  <c r="CA240" i="1"/>
  <c r="CK240" i="1"/>
  <c r="F251" i="1"/>
  <c r="CZ8" i="1"/>
  <c r="CY8" i="1"/>
  <c r="N224" i="1"/>
  <c r="N225" i="1"/>
  <c r="L225" i="1"/>
  <c r="L224" i="1"/>
  <c r="CV212" i="1"/>
  <c r="CV211" i="1"/>
  <c r="J181" i="1"/>
  <c r="F181" i="1"/>
  <c r="AE65" i="1"/>
  <c r="AE64" i="1"/>
  <c r="AD65" i="1"/>
  <c r="AD64" i="1"/>
  <c r="E251" i="1" l="1"/>
  <c r="E275" i="1"/>
  <c r="E259" i="1"/>
  <c r="F267" i="1"/>
  <c r="F266" i="1"/>
  <c r="F274" i="1"/>
  <c r="F258" i="1"/>
  <c r="Z189" i="1"/>
  <c r="Z188" i="1"/>
  <c r="K191" i="1" l="1"/>
  <c r="H191" i="1"/>
  <c r="M191" i="1"/>
  <c r="E191" i="1"/>
  <c r="P191" i="1"/>
  <c r="G191" i="1"/>
  <c r="O191" i="1"/>
  <c r="G198" i="1"/>
  <c r="L191" i="1"/>
  <c r="J191" i="1"/>
  <c r="N191" i="1"/>
  <c r="I191" i="1"/>
  <c r="D197" i="1"/>
  <c r="D191" i="1"/>
  <c r="F191" i="1"/>
  <c r="R191" i="1"/>
  <c r="Q191" i="1"/>
  <c r="D214" i="1" a="1"/>
  <c r="S213" i="1" a="1"/>
  <c r="CO213" i="1" a="1"/>
  <c r="AN219" i="1" a="1"/>
  <c r="BM219" i="1" a="1"/>
  <c r="BR219" i="1" a="1"/>
  <c r="BF213" i="1" a="1"/>
  <c r="E214" i="1" a="1"/>
  <c r="L214" i="1" a="1"/>
  <c r="N220" i="1" a="1"/>
  <c r="AL213" i="1" a="1"/>
  <c r="S219" i="1" a="1"/>
  <c r="CB213" i="1" a="1"/>
  <c r="CJ219" i="1" a="1"/>
  <c r="CJ213" i="1" a="1"/>
  <c r="E220" i="1" a="1"/>
  <c r="CN213" i="1" a="1"/>
  <c r="AC219" i="1" a="1"/>
  <c r="AD213" i="1" a="1"/>
  <c r="CS213" i="1" a="1"/>
  <c r="BB219" i="1" a="1"/>
  <c r="N213" i="1" a="1"/>
  <c r="CU213" i="1" a="1"/>
  <c r="AL219" i="1" a="1"/>
  <c r="AF219" i="1" a="1"/>
  <c r="AR213" i="1" a="1"/>
  <c r="Q220" i="1" a="1"/>
  <c r="BR213" i="1" a="1"/>
  <c r="U219" i="1" a="1"/>
  <c r="P219" i="1" a="1"/>
  <c r="CM219" i="1" a="1"/>
  <c r="AU219" i="1" a="1"/>
  <c r="CL219" i="1" a="1"/>
  <c r="W213" i="1" a="1"/>
  <c r="BV213" i="1" a="1"/>
  <c r="CE219" i="1" a="1"/>
  <c r="CN219" i="1" a="1"/>
  <c r="AM219" i="1" a="1"/>
  <c r="J214" i="1" a="1"/>
  <c r="K214" i="1" a="1"/>
  <c r="BP213" i="1" a="1"/>
  <c r="CL213" i="1" a="1"/>
  <c r="P220" i="1" a="1"/>
  <c r="V213" i="1" a="1"/>
  <c r="CG219" i="1" a="1"/>
  <c r="CB219" i="1" a="1"/>
  <c r="BE219" i="1" a="1"/>
  <c r="BF219" i="1" a="1"/>
  <c r="BE213" i="1" a="1"/>
  <c r="AI219" i="1" a="1"/>
  <c r="BB213" i="1" a="1"/>
  <c r="AY219" i="1" a="1"/>
  <c r="X213" i="1" a="1"/>
  <c r="CA213" i="1" a="1"/>
  <c r="BA213" i="1" a="1"/>
  <c r="I213" i="1" a="1"/>
  <c r="K220" i="1" a="1"/>
  <c r="BM213" i="1" a="1"/>
  <c r="CO219" i="1" a="1"/>
  <c r="BI219" i="1" a="1"/>
  <c r="CW213" i="1" a="1"/>
  <c r="BX213" i="1" a="1"/>
  <c r="U213" i="1" a="1"/>
  <c r="BH219" i="1" a="1"/>
  <c r="CC213" i="1" a="1"/>
  <c r="BY213" i="1" a="1"/>
  <c r="Y213" i="1" a="1"/>
  <c r="V219" i="1" a="1"/>
  <c r="I214" i="1" a="1"/>
  <c r="F219" i="1" a="1"/>
  <c r="AX219" i="1" a="1"/>
  <c r="AO219" i="1" a="1"/>
  <c r="J220" i="1" a="1"/>
  <c r="AG213" i="1" a="1"/>
  <c r="AH213" i="1" a="1"/>
  <c r="BZ213" i="1" a="1"/>
  <c r="BW219" i="1" a="1"/>
  <c r="CV219" i="1" a="1"/>
  <c r="R213" i="1" a="1"/>
  <c r="BC213" i="1" a="1"/>
  <c r="P213" i="1" a="1"/>
  <c r="BT219" i="1" a="1"/>
  <c r="M219" i="1" a="1"/>
  <c r="AQ219" i="1" a="1"/>
  <c r="AF213" i="1" a="1"/>
  <c r="Y219" i="1" a="1"/>
  <c r="AG219" i="1" a="1"/>
  <c r="O213" i="1" a="1"/>
  <c r="AE219" i="1" a="1"/>
  <c r="AV219" i="1" a="1"/>
  <c r="CW219" i="1" a="1"/>
  <c r="CI219" i="1" a="1"/>
  <c r="AW219" i="1" a="1"/>
  <c r="AR219" i="1" a="1"/>
  <c r="CP219" i="1" a="1"/>
  <c r="AU213" i="1" a="1"/>
  <c r="R214" i="1" a="1"/>
  <c r="BX219" i="1" a="1"/>
  <c r="BT213" i="1" a="1"/>
  <c r="BO213" i="1" a="1"/>
  <c r="CR213" i="1" a="1"/>
  <c r="Z213" i="1" a="1"/>
  <c r="AB213" i="1" a="1"/>
  <c r="CM213" i="1" a="1"/>
  <c r="D220" i="1" a="1"/>
  <c r="F213" i="1" a="1"/>
  <c r="CX213" i="1" a="1"/>
  <c r="Q219" i="1" a="1"/>
  <c r="AP213" i="1" a="1"/>
  <c r="CF219" i="1" a="1"/>
  <c r="O219" i="1" a="1"/>
  <c r="CD213" i="1" a="1"/>
  <c r="X219" i="1" a="1"/>
  <c r="AE213" i="1" a="1"/>
  <c r="H220" i="1" a="1"/>
  <c r="H214" i="1" a="1"/>
  <c r="BN219" i="1" a="1"/>
  <c r="BI213" i="1" a="1"/>
  <c r="CG213" i="1" a="1"/>
  <c r="BP219" i="1" a="1"/>
  <c r="BC219" i="1" a="1"/>
  <c r="CQ219" i="1" a="1"/>
  <c r="H213" i="1" a="1"/>
  <c r="AO213" i="1" a="1"/>
  <c r="BU219" i="1" a="1"/>
  <c r="G213" i="1" a="1"/>
  <c r="BO219" i="1" a="1"/>
  <c r="D213" i="1" a="1"/>
  <c r="CC219" i="1" a="1"/>
  <c r="L219" i="1" a="1"/>
  <c r="F220" i="1" a="1"/>
  <c r="AS219" i="1" a="1"/>
  <c r="CU219" i="1" a="1"/>
  <c r="BY219" i="1" a="1"/>
  <c r="J219" i="1" a="1"/>
  <c r="CK213" i="1" a="1"/>
  <c r="Z219" i="1" a="1"/>
  <c r="AJ213" i="1" a="1"/>
  <c r="O214" i="1" a="1"/>
  <c r="AT213" i="1" a="1"/>
  <c r="K219" i="1" a="1"/>
  <c r="O220" i="1" a="1"/>
  <c r="BL213" i="1" a="1"/>
  <c r="N214" i="1" a="1"/>
  <c r="CT213" i="1" a="1"/>
  <c r="BJ213" i="1" a="1"/>
  <c r="F214" i="1" a="1"/>
  <c r="L220" i="1" a="1"/>
  <c r="AT219" i="1" a="1"/>
  <c r="CH219" i="1" a="1"/>
  <c r="R220" i="1" a="1"/>
  <c r="AJ219" i="1" a="1"/>
  <c r="I220" i="1" a="1"/>
  <c r="BH213" i="1" a="1"/>
  <c r="D219" i="1" a="1"/>
  <c r="K213" i="1" a="1"/>
  <c r="AN213" i="1" a="1"/>
  <c r="AS213" i="1" a="1"/>
  <c r="T219" i="1" a="1"/>
  <c r="E219" i="1" a="1"/>
  <c r="AB219" i="1" a="1"/>
  <c r="AX213" i="1" a="1"/>
  <c r="M214" i="1" a="1"/>
  <c r="BG219" i="1" a="1"/>
  <c r="AP219" i="1" a="1"/>
  <c r="J213" i="1" a="1"/>
  <c r="AZ219" i="1" a="1"/>
  <c r="BK219" i="1" a="1"/>
  <c r="CK219" i="1" a="1"/>
  <c r="H219" i="1" a="1"/>
  <c r="BK213" i="1" a="1"/>
  <c r="CH213" i="1" a="1"/>
  <c r="AK219" i="1" a="1"/>
  <c r="G219" i="1" a="1"/>
  <c r="CP213" i="1" a="1"/>
  <c r="BU213" i="1" a="1"/>
  <c r="CA219" i="1" a="1"/>
  <c r="E213" i="1" a="1"/>
  <c r="AK213" i="1" a="1"/>
  <c r="AA219" i="1" a="1"/>
  <c r="BS213" i="1" a="1"/>
  <c r="CQ213" i="1" a="1"/>
  <c r="BV219" i="1" a="1"/>
  <c r="T213" i="1" a="1"/>
  <c r="BJ219" i="1" a="1"/>
  <c r="AZ213" i="1" a="1"/>
  <c r="BN213" i="1" a="1"/>
  <c r="CV213" i="1" a="1"/>
  <c r="BS219" i="1" a="1"/>
  <c r="P214" i="1" a="1"/>
  <c r="AQ213" i="1" a="1"/>
  <c r="AD219" i="1" a="1"/>
  <c r="AC213" i="1" a="1"/>
  <c r="CX219" i="1" a="1"/>
  <c r="AI213" i="1" a="1"/>
  <c r="BQ213" i="1" a="1"/>
  <c r="AW213" i="1" a="1"/>
  <c r="AA213" i="1" a="1"/>
  <c r="N219" i="1" a="1"/>
  <c r="BG213" i="1" a="1"/>
  <c r="R219" i="1" a="1"/>
  <c r="Q214" i="1" a="1"/>
  <c r="CT219" i="1" a="1"/>
  <c r="M213" i="1" a="1"/>
  <c r="CE213" i="1" a="1"/>
  <c r="CI213" i="1" a="1"/>
  <c r="G220" i="1" a="1"/>
  <c r="L213" i="1" a="1"/>
  <c r="W219" i="1" a="1"/>
  <c r="G214" i="1" a="1"/>
  <c r="CR219" i="1" a="1"/>
  <c r="BA219" i="1" a="1"/>
  <c r="AY213" i="1" a="1"/>
  <c r="M220" i="1" a="1"/>
  <c r="AM213" i="1" a="1"/>
  <c r="I219" i="1" a="1"/>
  <c r="BD219" i="1" a="1"/>
  <c r="AV213" i="1" a="1"/>
  <c r="Q213" i="1" a="1"/>
  <c r="BQ219" i="1" a="1"/>
  <c r="AH219" i="1" a="1"/>
  <c r="CD219" i="1" a="1"/>
  <c r="BD213" i="1" a="1"/>
  <c r="CS219" i="1" a="1"/>
  <c r="BW213" i="1" a="1"/>
  <c r="BZ219" i="1" a="1"/>
  <c r="BL219" i="1" a="1"/>
  <c r="CF213" i="1" a="1"/>
  <c r="G220" i="1" l="1"/>
  <c r="G222" i="1" s="1"/>
  <c r="AP213" i="1"/>
  <c r="AP215" i="1" s="1"/>
  <c r="AW213" i="1"/>
  <c r="AW215" i="1" s="1"/>
  <c r="F213" i="1"/>
  <c r="F215" i="1" s="1"/>
  <c r="AR213" i="1"/>
  <c r="AR215" i="1" s="1"/>
  <c r="AY219" i="1"/>
  <c r="AY221" i="1" s="1"/>
  <c r="BB219" i="1"/>
  <c r="BB221" i="1" s="1"/>
  <c r="J214" i="1"/>
  <c r="J216" i="1" s="1"/>
  <c r="AR219" i="1"/>
  <c r="AR221" i="1" s="1"/>
  <c r="BQ219" i="1"/>
  <c r="BQ221" i="1" s="1"/>
  <c r="D220" i="1"/>
  <c r="D222" i="1" s="1"/>
  <c r="CG219" i="1"/>
  <c r="CG221" i="1" s="1"/>
  <c r="CS219" i="1"/>
  <c r="CS221" i="1" s="1"/>
  <c r="CP219" i="1"/>
  <c r="CP221" i="1" s="1"/>
  <c r="BJ213" i="1"/>
  <c r="BJ215" i="1" s="1"/>
  <c r="AL219" i="1"/>
  <c r="AL221" i="1" s="1"/>
  <c r="Q213" i="1"/>
  <c r="Q215" i="1" s="1"/>
  <c r="P214" i="1"/>
  <c r="P216" i="1" s="1"/>
  <c r="M219" i="1"/>
  <c r="M221" i="1" s="1"/>
  <c r="AQ219" i="1"/>
  <c r="AQ221" i="1" s="1"/>
  <c r="X213" i="1"/>
  <c r="X215" i="1" s="1"/>
  <c r="CG213" i="1"/>
  <c r="CG215" i="1" s="1"/>
  <c r="CW213" i="1"/>
  <c r="CW215" i="1" s="1"/>
  <c r="CI213" i="1"/>
  <c r="CI215" i="1" s="1"/>
  <c r="AD213" i="1"/>
  <c r="AD215" i="1" s="1"/>
  <c r="X219" i="1"/>
  <c r="X221" i="1" s="1"/>
  <c r="BG219" i="1"/>
  <c r="BG221" i="1" s="1"/>
  <c r="AJ219" i="1"/>
  <c r="AJ221" i="1" s="1"/>
  <c r="CK219" i="1"/>
  <c r="CK221" i="1" s="1"/>
  <c r="AA219" i="1"/>
  <c r="AA221" i="1" s="1"/>
  <c r="BH219" i="1"/>
  <c r="BH221" i="1" s="1"/>
  <c r="AM213" i="1"/>
  <c r="AM215" i="1" s="1"/>
  <c r="Z213" i="1"/>
  <c r="Z215" i="1" s="1"/>
  <c r="AE219" i="1"/>
  <c r="AE221" i="1" s="1"/>
  <c r="AJ213" i="1"/>
  <c r="AJ215" i="1" s="1"/>
  <c r="CX219" i="1"/>
  <c r="CX221" i="1" s="1"/>
  <c r="R219" i="1"/>
  <c r="R221" i="1" s="1"/>
  <c r="BJ219" i="1"/>
  <c r="BJ221" i="1" s="1"/>
  <c r="BS213" i="1"/>
  <c r="BS215" i="1" s="1"/>
  <c r="BN219" i="1"/>
  <c r="BN221" i="1" s="1"/>
  <c r="D213" i="1"/>
  <c r="D215" i="1" s="1"/>
  <c r="AF213" i="1"/>
  <c r="AF215" i="1" s="1"/>
  <c r="N214" i="1"/>
  <c r="N216" i="1" s="1"/>
  <c r="J213" i="1"/>
  <c r="J215" i="1" s="1"/>
  <c r="K220" i="1"/>
  <c r="K222" i="1" s="1"/>
  <c r="BO213" i="1"/>
  <c r="BO215" i="1" s="1"/>
  <c r="BI213" i="1"/>
  <c r="BI215" i="1" s="1"/>
  <c r="BT213" i="1"/>
  <c r="BT215" i="1" s="1"/>
  <c r="AC213" i="1"/>
  <c r="AC215" i="1" s="1"/>
  <c r="M214" i="1"/>
  <c r="M216" i="1" s="1"/>
  <c r="I213" i="1"/>
  <c r="I215" i="1" s="1"/>
  <c r="N213" i="1"/>
  <c r="N215" i="1" s="1"/>
  <c r="AD219" i="1"/>
  <c r="AD221" i="1" s="1"/>
  <c r="I219" i="1"/>
  <c r="I221" i="1" s="1"/>
  <c r="BW213" i="1"/>
  <c r="BW215" i="1" s="1"/>
  <c r="D214" i="1"/>
  <c r="D216" i="1" s="1"/>
  <c r="AK219" i="1"/>
  <c r="AK221" i="1" s="1"/>
  <c r="BR213" i="1"/>
  <c r="BR215" i="1" s="1"/>
  <c r="H219" i="1"/>
  <c r="H221" i="1" s="1"/>
  <c r="CV219" i="1"/>
  <c r="CV221" i="1" s="1"/>
  <c r="AI219" i="1"/>
  <c r="AI221" i="1" s="1"/>
  <c r="CN219" i="1"/>
  <c r="CN221" i="1" s="1"/>
  <c r="R213" i="1"/>
  <c r="R215" i="1" s="1"/>
  <c r="I214" i="1"/>
  <c r="I216" i="1" s="1"/>
  <c r="AZ219" i="1"/>
  <c r="AZ221" i="1" s="1"/>
  <c r="BV213" i="1"/>
  <c r="BV215" i="1" s="1"/>
  <c r="CO213" i="1"/>
  <c r="CO215" i="1" s="1"/>
  <c r="AW219" i="1"/>
  <c r="AW221" i="1" s="1"/>
  <c r="BH213" i="1"/>
  <c r="BH215" i="1" s="1"/>
  <c r="AO213" i="1"/>
  <c r="AO215" i="1" s="1"/>
  <c r="AI213" i="1"/>
  <c r="AI215" i="1" s="1"/>
  <c r="AB213" i="1"/>
  <c r="AB215" i="1" s="1"/>
  <c r="Q219" i="1"/>
  <c r="Q221" i="1" s="1"/>
  <c r="CD219" i="1"/>
  <c r="CD221" i="1" s="1"/>
  <c r="CH219" i="1"/>
  <c r="CH221" i="1" s="1"/>
  <c r="BR219" i="1"/>
  <c r="BR221" i="1" s="1"/>
  <c r="AQ213" i="1"/>
  <c r="AQ215" i="1" s="1"/>
  <c r="AT219" i="1"/>
  <c r="AT221" i="1" s="1"/>
  <c r="P220" i="1"/>
  <c r="P222" i="1" s="1"/>
  <c r="BP219" i="1"/>
  <c r="BP221" i="1" s="1"/>
  <c r="BF213" i="1"/>
  <c r="BF215" i="1" s="1"/>
  <c r="N220" i="1"/>
  <c r="N222" i="1" s="1"/>
  <c r="L219" i="1"/>
  <c r="L221" i="1" s="1"/>
  <c r="BX213" i="1"/>
  <c r="BX215" i="1" s="1"/>
  <c r="AZ213" i="1"/>
  <c r="AZ215" i="1" s="1"/>
  <c r="BM213" i="1"/>
  <c r="BM215" i="1" s="1"/>
  <c r="Q220" i="1"/>
  <c r="Q222" i="1" s="1"/>
  <c r="CW219" i="1"/>
  <c r="CW221" i="1" s="1"/>
  <c r="AE213" i="1"/>
  <c r="AE215" i="1" s="1"/>
  <c r="E213" i="1"/>
  <c r="E215" i="1" s="1"/>
  <c r="AP219" i="1"/>
  <c r="AP221" i="1" s="1"/>
  <c r="K219" i="1"/>
  <c r="K221" i="1" s="1"/>
  <c r="AU219" i="1"/>
  <c r="AU221" i="1" s="1"/>
  <c r="CE219" i="1"/>
  <c r="CE221" i="1" s="1"/>
  <c r="BA213" i="1"/>
  <c r="BA215" i="1" s="1"/>
  <c r="AC219" i="1"/>
  <c r="AC221" i="1" s="1"/>
  <c r="AO219" i="1"/>
  <c r="AO221" i="1" s="1"/>
  <c r="Q214" i="1"/>
  <c r="Q216" i="1" s="1"/>
  <c r="F214" i="1"/>
  <c r="F216" i="1" s="1"/>
  <c r="E219" i="1"/>
  <c r="E221" i="1" s="1"/>
  <c r="E214" i="1"/>
  <c r="E216" i="1" s="1"/>
  <c r="R220" i="1"/>
  <c r="R222" i="1" s="1"/>
  <c r="AV213" i="1"/>
  <c r="AV215" i="1" s="1"/>
  <c r="O213" i="1"/>
  <c r="O215" i="1" s="1"/>
  <c r="R214" i="1"/>
  <c r="R216" i="1" s="1"/>
  <c r="BI219" i="1"/>
  <c r="BI221" i="1" s="1"/>
  <c r="AT213" i="1"/>
  <c r="AT215" i="1" s="1"/>
  <c r="CC219" i="1"/>
  <c r="CC221" i="1" s="1"/>
  <c r="AY213" i="1"/>
  <c r="AY215" i="1" s="1"/>
  <c r="U219" i="1"/>
  <c r="U221" i="1" s="1"/>
  <c r="CB219" i="1"/>
  <c r="CB221" i="1" s="1"/>
  <c r="AS219" i="1"/>
  <c r="AS221" i="1" s="1"/>
  <c r="G214" i="1"/>
  <c r="G216" i="1" s="1"/>
  <c r="S219" i="1"/>
  <c r="S221" i="1" s="1"/>
  <c r="V219" i="1"/>
  <c r="V221" i="1" s="1"/>
  <c r="P219" i="1"/>
  <c r="P221" i="1" s="1"/>
  <c r="AK213" i="1"/>
  <c r="AK215" i="1" s="1"/>
  <c r="J219" i="1"/>
  <c r="J221" i="1" s="1"/>
  <c r="K214" i="1"/>
  <c r="K216" i="1" s="1"/>
  <c r="CH213" i="1"/>
  <c r="CH215" i="1" s="1"/>
  <c r="BU213" i="1"/>
  <c r="BU215" i="1" s="1"/>
  <c r="L214" i="1"/>
  <c r="L216" i="1" s="1"/>
  <c r="AN219" i="1"/>
  <c r="AN221" i="1" s="1"/>
  <c r="BE213" i="1"/>
  <c r="BE215" i="1" s="1"/>
  <c r="P213" i="1"/>
  <c r="P215" i="1" s="1"/>
  <c r="CQ219" i="1"/>
  <c r="CQ221" i="1" s="1"/>
  <c r="G219" i="1"/>
  <c r="G221" i="1" s="1"/>
  <c r="O219" i="1"/>
  <c r="O221" i="1" s="1"/>
  <c r="AB219" i="1"/>
  <c r="AB221" i="1" s="1"/>
  <c r="BG213" i="1"/>
  <c r="BG215" i="1" s="1"/>
  <c r="AG219" i="1"/>
  <c r="AG221" i="1" s="1"/>
  <c r="CQ213" i="1"/>
  <c r="CQ215" i="1" s="1"/>
  <c r="CR219" i="1"/>
  <c r="CR221" i="1" s="1"/>
  <c r="W219" i="1"/>
  <c r="W221" i="1" s="1"/>
  <c r="T219" i="1"/>
  <c r="T221" i="1" s="1"/>
  <c r="BE219" i="1"/>
  <c r="BE221" i="1" s="1"/>
  <c r="CT213" i="1"/>
  <c r="CT215" i="1" s="1"/>
  <c r="BK219" i="1"/>
  <c r="BK221" i="1" s="1"/>
  <c r="BX219" i="1"/>
  <c r="BX221" i="1" s="1"/>
  <c r="BL213" i="1"/>
  <c r="BL215" i="1" s="1"/>
  <c r="BY213" i="1"/>
  <c r="BY215" i="1" s="1"/>
  <c r="BW219" i="1"/>
  <c r="BW221" i="1" s="1"/>
  <c r="AH213" i="1"/>
  <c r="AH215" i="1" s="1"/>
  <c r="BS219" i="1"/>
  <c r="BS221" i="1" s="1"/>
  <c r="Y219" i="1"/>
  <c r="Y221" i="1" s="1"/>
  <c r="AH219" i="1"/>
  <c r="AH221" i="1" s="1"/>
  <c r="AX213" i="1"/>
  <c r="AX215" i="1" s="1"/>
  <c r="U213" i="1"/>
  <c r="U215" i="1" s="1"/>
  <c r="G213" i="1"/>
  <c r="G215" i="1" s="1"/>
  <c r="CM213" i="1"/>
  <c r="CM215" i="1" s="1"/>
  <c r="CF219" i="1"/>
  <c r="CF221" i="1" s="1"/>
  <c r="BD219" i="1"/>
  <c r="BD221" i="1" s="1"/>
  <c r="BT219" i="1"/>
  <c r="BT221" i="1" s="1"/>
  <c r="H220" i="1"/>
  <c r="H222" i="1" s="1"/>
  <c r="S213" i="1"/>
  <c r="S215" i="1" s="1"/>
  <c r="CJ219" i="1"/>
  <c r="CJ221" i="1" s="1"/>
  <c r="F220" i="1"/>
  <c r="F222" i="1" s="1"/>
  <c r="CT219" i="1"/>
  <c r="CT221" i="1" s="1"/>
  <c r="BD213" i="1"/>
  <c r="BD215" i="1" s="1"/>
  <c r="L220" i="1"/>
  <c r="L222" i="1" s="1"/>
  <c r="AX219" i="1"/>
  <c r="AX221" i="1" s="1"/>
  <c r="H213" i="1"/>
  <c r="H215" i="1" s="1"/>
  <c r="CA219" i="1"/>
  <c r="CA221" i="1" s="1"/>
  <c r="K213" i="1"/>
  <c r="K215" i="1" s="1"/>
  <c r="D219" i="1"/>
  <c r="D221" i="1" s="1"/>
  <c r="CU219" i="1"/>
  <c r="CU221" i="1" s="1"/>
  <c r="CI219" i="1"/>
  <c r="CI221" i="1" s="1"/>
  <c r="BC219" i="1"/>
  <c r="BC221" i="1" s="1"/>
  <c r="O220" i="1"/>
  <c r="O222" i="1" s="1"/>
  <c r="O214" i="1"/>
  <c r="O216" i="1" s="1"/>
  <c r="BF219" i="1"/>
  <c r="BF221" i="1" s="1"/>
  <c r="BK213" i="1"/>
  <c r="BK215" i="1" s="1"/>
  <c r="CE213" i="1"/>
  <c r="CE215" i="1" s="1"/>
  <c r="Z219" i="1"/>
  <c r="Z221" i="1" s="1"/>
  <c r="CP213" i="1"/>
  <c r="CP215" i="1" s="1"/>
  <c r="I220" i="1"/>
  <c r="I222" i="1" s="1"/>
  <c r="Y213" i="1"/>
  <c r="Y215" i="1" s="1"/>
  <c r="BP213" i="1"/>
  <c r="BP215" i="1" s="1"/>
  <c r="CL219" i="1"/>
  <c r="CL221" i="1" s="1"/>
  <c r="M213" i="1"/>
  <c r="M215" i="1" s="1"/>
  <c r="BM219" i="1"/>
  <c r="BM221" i="1" s="1"/>
  <c r="F219" i="1"/>
  <c r="F221" i="1" s="1"/>
  <c r="CX213" i="1"/>
  <c r="CX215" i="1" s="1"/>
  <c r="BQ213" i="1"/>
  <c r="BQ215" i="1" s="1"/>
  <c r="BN213" i="1"/>
  <c r="BN215" i="1" s="1"/>
  <c r="M220" i="1"/>
  <c r="M222" i="1" s="1"/>
  <c r="BC213" i="1"/>
  <c r="BC215" i="1" s="1"/>
  <c r="BZ219" i="1"/>
  <c r="BZ221" i="1" s="1"/>
  <c r="CR213" i="1"/>
  <c r="CR215" i="1" s="1"/>
  <c r="AS213" i="1"/>
  <c r="AS215" i="1" s="1"/>
  <c r="W213" i="1"/>
  <c r="W215" i="1" s="1"/>
  <c r="AV219" i="1"/>
  <c r="AV221" i="1" s="1"/>
  <c r="CL213" i="1"/>
  <c r="CL215" i="1" s="1"/>
  <c r="CD213" i="1"/>
  <c r="CD215" i="1" s="1"/>
  <c r="J220" i="1"/>
  <c r="J222" i="1" s="1"/>
  <c r="BU219" i="1"/>
  <c r="BU221" i="1" s="1"/>
  <c r="T213" i="1"/>
  <c r="T215" i="1" s="1"/>
  <c r="CA213" i="1"/>
  <c r="CA215" i="1" s="1"/>
  <c r="N219" i="1"/>
  <c r="N221" i="1" s="1"/>
  <c r="BY219" i="1"/>
  <c r="BY221" i="1" s="1"/>
  <c r="H214" i="1"/>
  <c r="H216" i="1" s="1"/>
  <c r="L213" i="1"/>
  <c r="L215" i="1" s="1"/>
  <c r="CS213" i="1"/>
  <c r="CS215" i="1" s="1"/>
  <c r="CJ213" i="1"/>
  <c r="CJ215" i="1" s="1"/>
  <c r="AN213" i="1"/>
  <c r="AN215" i="1" s="1"/>
  <c r="CF213" i="1"/>
  <c r="CF215" i="1" s="1"/>
  <c r="AU213" i="1"/>
  <c r="AU215" i="1" s="1"/>
  <c r="BV219" i="1"/>
  <c r="BV221" i="1" s="1"/>
  <c r="CU213" i="1"/>
  <c r="CU215" i="1" s="1"/>
  <c r="V213" i="1"/>
  <c r="V215" i="1" s="1"/>
  <c r="CB213" i="1"/>
  <c r="CB215" i="1" s="1"/>
  <c r="CV213" i="1"/>
  <c r="CV215" i="1" s="1"/>
  <c r="BA219" i="1"/>
  <c r="BA221" i="1" s="1"/>
  <c r="CM219" i="1"/>
  <c r="CM221" i="1" s="1"/>
  <c r="CC213" i="1"/>
  <c r="CC215" i="1" s="1"/>
  <c r="CN213" i="1"/>
  <c r="CN215" i="1" s="1"/>
  <c r="AF219" i="1"/>
  <c r="AF221" i="1" s="1"/>
  <c r="CO219" i="1"/>
  <c r="CO221" i="1" s="1"/>
  <c r="BB213" i="1"/>
  <c r="BB215" i="1" s="1"/>
  <c r="AA213" i="1"/>
  <c r="AA215" i="1" s="1"/>
  <c r="E220" i="1"/>
  <c r="E222" i="1" s="1"/>
  <c r="AM219" i="1"/>
  <c r="AM221" i="1" s="1"/>
  <c r="AL213" i="1"/>
  <c r="AL215" i="1" s="1"/>
  <c r="BL219" i="1"/>
  <c r="BL221" i="1" s="1"/>
  <c r="BO219" i="1"/>
  <c r="BO221" i="1" s="1"/>
  <c r="AG213" i="1"/>
  <c r="AG215" i="1" s="1"/>
  <c r="BZ213" i="1"/>
  <c r="BZ215" i="1" s="1"/>
  <c r="CK213" i="1"/>
  <c r="CK215" i="1" s="1"/>
  <c r="G204" i="1"/>
  <c r="K204" i="1"/>
  <c r="K198" i="1"/>
  <c r="M198" i="1"/>
  <c r="F198" i="1"/>
  <c r="F204" i="1"/>
  <c r="N204" i="1"/>
  <c r="P198" i="1"/>
  <c r="H198" i="1"/>
  <c r="D203" i="1"/>
  <c r="R198" i="1"/>
  <c r="D198" i="1"/>
  <c r="F203" i="1"/>
  <c r="I203" i="1"/>
  <c r="R203" i="1"/>
  <c r="G203" i="1"/>
  <c r="P204" i="1"/>
  <c r="R204" i="1"/>
  <c r="F209" i="1"/>
  <c r="O204" i="1"/>
  <c r="O209" i="1"/>
  <c r="P197" i="1"/>
  <c r="E209" i="1"/>
  <c r="R192" i="1"/>
  <c r="I204" i="1"/>
  <c r="Q197" i="1"/>
  <c r="N197" i="1"/>
  <c r="M203" i="1"/>
  <c r="I210" i="1"/>
  <c r="D204" i="1"/>
  <c r="J210" i="1"/>
  <c r="L204" i="1"/>
  <c r="H210" i="1"/>
  <c r="F210" i="1"/>
  <c r="L210" i="1"/>
  <c r="M204" i="1"/>
  <c r="M209" i="1"/>
  <c r="F192" i="1"/>
  <c r="O210" i="1"/>
  <c r="J192" i="1"/>
  <c r="P210" i="1"/>
  <c r="N192" i="1"/>
  <c r="G210" i="1"/>
  <c r="D210" i="1"/>
  <c r="Q209" i="1"/>
  <c r="P192" i="1"/>
  <c r="Q204" i="1"/>
  <c r="I197" i="1"/>
  <c r="R209" i="1"/>
  <c r="K210" i="1"/>
  <c r="N203" i="1"/>
  <c r="P209" i="1"/>
  <c r="H197" i="1"/>
  <c r="Q192" i="1"/>
  <c r="AB192" i="1"/>
  <c r="AB191" i="1"/>
  <c r="E210" i="1"/>
  <c r="N209" i="1"/>
  <c r="I198" i="1"/>
  <c r="I209" i="1"/>
  <c r="H204" i="1"/>
  <c r="K209" i="1"/>
  <c r="L209" i="1"/>
  <c r="G209" i="1"/>
  <c r="G192" i="1"/>
  <c r="L197" i="1"/>
  <c r="AB200" i="1"/>
  <c r="AB201" i="1"/>
  <c r="AB203" i="1"/>
  <c r="AB204" i="1"/>
  <c r="H209" i="1"/>
  <c r="E197" i="1"/>
  <c r="Z204" i="1"/>
  <c r="Z203" i="1"/>
  <c r="D192" i="1"/>
  <c r="M192" i="1"/>
  <c r="K197" i="1"/>
  <c r="I192" i="1"/>
  <c r="M210" i="1"/>
  <c r="Q210" i="1"/>
  <c r="O192" i="1"/>
  <c r="R197" i="1"/>
  <c r="J204" i="1"/>
  <c r="H203" i="1"/>
  <c r="Z191" i="1"/>
  <c r="Z192" i="1"/>
  <c r="H192" i="1"/>
  <c r="K203" i="1"/>
  <c r="E203" i="1"/>
  <c r="J198" i="1"/>
  <c r="L192" i="1"/>
  <c r="N198" i="1"/>
  <c r="O198" i="1"/>
  <c r="F197" i="1"/>
  <c r="J203" i="1"/>
  <c r="L203" i="1"/>
  <c r="AB189" i="1"/>
  <c r="AB188" i="1"/>
  <c r="Q198" i="1"/>
  <c r="R210" i="1"/>
  <c r="O197" i="1"/>
  <c r="J197" i="1"/>
  <c r="E198" i="1"/>
  <c r="J209" i="1"/>
  <c r="L198" i="1"/>
  <c r="E192" i="1"/>
  <c r="O203" i="1"/>
  <c r="M197" i="1"/>
  <c r="P203" i="1"/>
  <c r="G197" i="1"/>
  <c r="Z200" i="1"/>
  <c r="Z201" i="1"/>
  <c r="D209" i="1"/>
  <c r="N210" i="1"/>
  <c r="E204" i="1"/>
  <c r="Q203" i="1"/>
  <c r="K192" i="1"/>
  <c r="AT176" i="1" a="1"/>
  <c r="BF254" i="1" a="1"/>
  <c r="CE176" i="1" a="1"/>
  <c r="CD176" i="1" a="1"/>
  <c r="AW263" i="1" a="1"/>
  <c r="BH270" i="1" a="1"/>
  <c r="CU246" i="1" a="1"/>
  <c r="CS247" i="1" a="1"/>
  <c r="AC270" i="1" a="1"/>
  <c r="CQ255" i="1" a="1"/>
  <c r="BZ255" i="1" a="1"/>
  <c r="W271" i="1" a="1"/>
  <c r="AJ270" i="1" a="1"/>
  <c r="BK177" i="1" a="1"/>
  <c r="CV262" i="1" a="1"/>
  <c r="AU271" i="1" a="1"/>
  <c r="AA246" i="1" a="1"/>
  <c r="X263" i="1" a="1"/>
  <c r="BL262" i="1" a="1"/>
  <c r="BX255" i="1" a="1"/>
  <c r="AW271" i="1" a="1"/>
  <c r="BX176" i="1" a="1"/>
  <c r="Q246" i="1" a="1"/>
  <c r="CL246" i="1" a="1"/>
  <c r="CX262" i="1" a="1"/>
  <c r="AL254" i="1" a="1"/>
  <c r="H271" i="1" a="1"/>
  <c r="E246" i="1" a="1"/>
  <c r="CN246" i="1" a="1"/>
  <c r="K247" i="1" a="1"/>
  <c r="CW271" i="1" a="1"/>
  <c r="BJ246" i="1" a="1"/>
  <c r="CE177" i="1" a="1"/>
  <c r="AN270" i="1" a="1"/>
  <c r="P246" i="1" a="1"/>
  <c r="M270" i="1" a="1"/>
  <c r="BG270" i="1" a="1"/>
  <c r="BF177" i="1" a="1"/>
  <c r="J263" i="1" a="1"/>
  <c r="AA247" i="1" a="1"/>
  <c r="BO246" i="1" a="1"/>
  <c r="CJ255" i="1" a="1"/>
  <c r="BV254" i="1" a="1"/>
  <c r="AB255" i="1" a="1"/>
  <c r="AQ262" i="1" a="1"/>
  <c r="CV255" i="1" a="1"/>
  <c r="CK254" i="1" a="1"/>
  <c r="CI263" i="1" a="1"/>
  <c r="CW255" i="1" a="1"/>
  <c r="CS254" i="1" a="1"/>
  <c r="CQ247" i="1" a="1"/>
  <c r="BC246" i="1" a="1"/>
  <c r="AQ255" i="1" a="1"/>
  <c r="BG263" i="1" a="1"/>
  <c r="CR247" i="1" a="1"/>
  <c r="BK254" i="1" a="1"/>
  <c r="BQ247" i="1" a="1"/>
  <c r="CC254" i="1" a="1"/>
  <c r="AZ247" i="1" a="1"/>
  <c r="AS263" i="1" a="1"/>
  <c r="CG247" i="1" a="1"/>
  <c r="AL270" i="1" a="1"/>
  <c r="CK246" i="1" a="1"/>
  <c r="N254" i="1" a="1"/>
  <c r="AY176" i="1" a="1"/>
  <c r="BG247" i="1" a="1"/>
  <c r="AI255" i="1" a="1"/>
  <c r="S271" i="1" a="1"/>
  <c r="BG176" i="1" a="1"/>
  <c r="BV177" i="1" a="1"/>
  <c r="I177" i="1" a="1"/>
  <c r="T263" i="1" a="1"/>
  <c r="CN263" i="1" a="1"/>
  <c r="AI177" i="1" a="1"/>
  <c r="CK271" i="1" a="1"/>
  <c r="BQ271" i="1" a="1"/>
  <c r="CO254" i="1" a="1"/>
  <c r="BR246" i="1" a="1"/>
  <c r="D263" i="1" a="1"/>
  <c r="AH247" i="1" a="1"/>
  <c r="D254" i="1" a="1"/>
  <c r="CO176" i="1" a="1"/>
  <c r="CJ176" i="1" a="1"/>
  <c r="CI177" i="1" a="1"/>
  <c r="BG271" i="1" a="1"/>
  <c r="F255" i="1" a="1"/>
  <c r="CG254" i="1" a="1"/>
  <c r="BF271" i="1" a="1"/>
  <c r="CI271" i="1" a="1"/>
  <c r="X246" i="1" a="1"/>
  <c r="CI262" i="1" a="1"/>
  <c r="M247" i="1" a="1"/>
  <c r="BC177" i="1" a="1"/>
  <c r="AX247" i="1" a="1"/>
  <c r="AJ177" i="1" a="1"/>
  <c r="CT246" i="1" a="1"/>
  <c r="BK255" i="1" a="1"/>
  <c r="AG262" i="1" a="1"/>
  <c r="Q177" i="1" a="1"/>
  <c r="AT270" i="1" a="1"/>
  <c r="BU176" i="1" a="1"/>
  <c r="AK271" i="1" a="1"/>
  <c r="AJ254" i="1" a="1"/>
  <c r="CU254" i="1" a="1"/>
  <c r="CM246" i="1" a="1"/>
  <c r="CJ270" i="1" a="1"/>
  <c r="BV270" i="1" a="1"/>
  <c r="L246" i="1" a="1"/>
  <c r="AY246" i="1" a="1"/>
  <c r="BV263" i="1" a="1"/>
  <c r="BD177" i="1" a="1"/>
  <c r="N246" i="1" a="1"/>
  <c r="BV176" i="1" a="1"/>
  <c r="AK246" i="1" a="1"/>
  <c r="BK176" i="1" a="1"/>
  <c r="BB263" i="1" a="1"/>
  <c r="CA246" i="1" a="1"/>
  <c r="CG177" i="1" a="1"/>
  <c r="J271" i="1" a="1"/>
  <c r="CX254" i="1" a="1"/>
  <c r="BD246" i="1" a="1"/>
  <c r="I262" i="1" a="1"/>
  <c r="CC255" i="1" a="1"/>
  <c r="Q254" i="1" a="1"/>
  <c r="U262" i="1" a="1"/>
  <c r="CM247" i="1" a="1"/>
  <c r="AS247" i="1" a="1"/>
  <c r="AN176" i="1" a="1"/>
  <c r="AR255" i="1" a="1"/>
  <c r="AB177" i="1" a="1"/>
  <c r="M176" i="1" a="1"/>
  <c r="CO246" i="1" a="1"/>
  <c r="AX271" i="1" a="1"/>
  <c r="AT263" i="1" a="1"/>
  <c r="D176" i="1" a="1"/>
  <c r="Q271" i="1" a="1"/>
  <c r="S246" i="1" a="1"/>
  <c r="AM246" i="1" a="1"/>
  <c r="CA247" i="1" a="1"/>
  <c r="CX255" i="1" a="1"/>
  <c r="CQ177" i="1" a="1"/>
  <c r="L176" i="1" a="1"/>
  <c r="AY263" i="1" a="1"/>
  <c r="CU247" i="1" a="1"/>
  <c r="BF263" i="1" a="1"/>
  <c r="T255" i="1" a="1"/>
  <c r="BZ263" i="1" a="1"/>
  <c r="J255" i="1" a="1"/>
  <c r="N247" i="1" a="1"/>
  <c r="Y246" i="1" a="1"/>
  <c r="AL262" i="1" a="1"/>
  <c r="CI270" i="1" a="1"/>
  <c r="AZ246" i="1" a="1"/>
  <c r="AE254" i="1" a="1"/>
  <c r="BD247" i="1" a="1"/>
  <c r="AS177" i="1" a="1"/>
  <c r="BZ254" i="1" a="1"/>
  <c r="CP262" i="1" a="1"/>
  <c r="CP263" i="1" a="1"/>
  <c r="AP255" i="1" a="1"/>
  <c r="AY247" i="1" a="1"/>
  <c r="AN263" i="1" a="1"/>
  <c r="AW255" i="1" a="1"/>
  <c r="BR177" i="1" a="1"/>
  <c r="Q270" i="1" a="1"/>
  <c r="CI176" i="1" a="1"/>
  <c r="AB262" i="1" a="1"/>
  <c r="BS255" i="1" a="1"/>
  <c r="BH246" i="1" a="1"/>
  <c r="U177" i="1" a="1"/>
  <c r="CR246" i="1" a="1"/>
  <c r="AC246" i="1" a="1"/>
  <c r="BC247" i="1" a="1"/>
  <c r="BO177" i="1" a="1"/>
  <c r="CV177" i="1" a="1"/>
  <c r="AF262" i="1" a="1"/>
  <c r="BA177" i="1" a="1"/>
  <c r="D247" i="1" a="1"/>
  <c r="BH177" i="1" a="1"/>
  <c r="O254" i="1" a="1"/>
  <c r="AK176" i="1" a="1"/>
  <c r="CK270" i="1" a="1"/>
  <c r="V254" i="1" a="1"/>
  <c r="AS255" i="1" a="1"/>
  <c r="T262" i="1" a="1"/>
  <c r="U255" i="1" a="1"/>
  <c r="CU176" i="1" a="1"/>
  <c r="G247" i="1" a="1"/>
  <c r="CU270" i="1" a="1"/>
  <c r="CX246" i="1" a="1"/>
  <c r="CC270" i="1" a="1"/>
  <c r="J176" i="1" a="1"/>
  <c r="BE247" i="1" a="1"/>
  <c r="AA177" i="1" a="1"/>
  <c r="AW177" i="1" a="1"/>
  <c r="AR176" i="1" a="1"/>
  <c r="R247" i="1" a="1"/>
  <c r="CA270" i="1" a="1"/>
  <c r="S263" i="1" a="1"/>
  <c r="Z271" i="1" a="1"/>
  <c r="BN263" i="1" a="1"/>
  <c r="BY177" i="1" a="1"/>
  <c r="BN254" i="1" a="1"/>
  <c r="CK177" i="1" a="1"/>
  <c r="BH176" i="1" a="1"/>
  <c r="K263" i="1" a="1"/>
  <c r="AY254" i="1" a="1"/>
  <c r="BZ176" i="1" a="1"/>
  <c r="AL271" i="1" a="1"/>
  <c r="BI263" i="1" a="1"/>
  <c r="V271" i="1" a="1"/>
  <c r="Y263" i="1" a="1"/>
  <c r="CM177" i="1" a="1"/>
  <c r="BO247" i="1" a="1"/>
  <c r="CP255" i="1" a="1"/>
  <c r="BB246" i="1" a="1"/>
  <c r="AT246" i="1" a="1"/>
  <c r="CP176" i="1" a="1"/>
  <c r="AE176" i="1" a="1"/>
  <c r="BV262" i="1" a="1"/>
  <c r="BD255" i="1" a="1"/>
  <c r="D271" i="1" a="1"/>
  <c r="AO177" i="1" a="1"/>
  <c r="BO270" i="1" a="1"/>
  <c r="L177" i="1" a="1"/>
  <c r="BY262" i="1" a="1"/>
  <c r="G271" i="1" a="1"/>
  <c r="CE262" i="1" a="1"/>
  <c r="CL177" i="1" a="1"/>
  <c r="BI255" i="1" a="1"/>
  <c r="BP255" i="1" a="1"/>
  <c r="X254" i="1" a="1"/>
  <c r="F177" i="1" a="1"/>
  <c r="BI271" i="1" a="1"/>
  <c r="AF177" i="1" a="1"/>
  <c r="AA254" i="1" a="1"/>
  <c r="BV255" i="1" a="1"/>
  <c r="AA270" i="1" a="1"/>
  <c r="CT262" i="1" a="1"/>
  <c r="H247" i="1" a="1"/>
  <c r="BG254" i="1" a="1"/>
  <c r="CC176" i="1" a="1"/>
  <c r="CV254" i="1" a="1"/>
  <c r="BW177" i="1" a="1"/>
  <c r="O246" i="1" a="1"/>
  <c r="CS177" i="1" a="1"/>
  <c r="AU270" i="1" a="1"/>
  <c r="BK270" i="1" a="1"/>
  <c r="BH262" i="1" a="1"/>
  <c r="CX271" i="1" a="1"/>
  <c r="M254" i="1" a="1"/>
  <c r="CX177" i="1" a="1"/>
  <c r="CM255" i="1" a="1"/>
  <c r="BS271" i="1" a="1"/>
  <c r="BP246" i="1" a="1"/>
  <c r="AD254" i="1" a="1"/>
  <c r="AI176" i="1" a="1"/>
  <c r="AU177" i="1" a="1"/>
  <c r="CM254" i="1" a="1"/>
  <c r="CB255" i="1" a="1"/>
  <c r="CG176" i="1" a="1"/>
  <c r="U246" i="1" a="1"/>
  <c r="CF262" i="1" a="1"/>
  <c r="AU263" i="1" a="1"/>
  <c r="AB270" i="1" a="1"/>
  <c r="CN255" i="1" a="1"/>
  <c r="CS271" i="1" a="1"/>
  <c r="Z247" i="1" a="1"/>
  <c r="BA271" i="1" a="1"/>
  <c r="BC176" i="1" a="1"/>
  <c r="X176" i="1" a="1"/>
  <c r="W270" i="1" a="1"/>
  <c r="BF247" i="1" a="1"/>
  <c r="CI246" i="1" a="1"/>
  <c r="M246" i="1" a="1"/>
  <c r="CK262" i="1" a="1"/>
  <c r="Y176" i="1" a="1"/>
  <c r="AX263" i="1" a="1"/>
  <c r="BZ270" i="1" a="1"/>
  <c r="AV255" i="1" a="1"/>
  <c r="BP262" i="1" a="1"/>
  <c r="BY176" i="1" a="1"/>
  <c r="Q262" i="1" a="1"/>
  <c r="CA254" i="1" a="1"/>
  <c r="AX177" i="1" a="1"/>
  <c r="E271" i="1" a="1"/>
  <c r="CK263" i="1" a="1"/>
  <c r="BZ246" i="1" a="1"/>
  <c r="CT177" i="1" a="1"/>
  <c r="BQ263" i="1" a="1"/>
  <c r="AS270" i="1" a="1"/>
  <c r="AZ255" i="1" a="1"/>
  <c r="CB246" i="1" a="1"/>
  <c r="CJ247" i="1" a="1"/>
  <c r="BJ262" i="1" a="1"/>
  <c r="AV254" i="1" a="1"/>
  <c r="AY270" i="1" a="1"/>
  <c r="AJ246" i="1" a="1"/>
  <c r="BI247" i="1" a="1"/>
  <c r="BF176" i="1" a="1"/>
  <c r="BB177" i="1" a="1"/>
  <c r="BQ270" i="1" a="1"/>
  <c r="P254" i="1" a="1"/>
  <c r="BH247" i="1" a="1"/>
  <c r="AC255" i="1" a="1"/>
  <c r="CB177" i="1" a="1"/>
  <c r="Y271" i="1" a="1"/>
  <c r="BJ247" i="1" a="1"/>
  <c r="AO263" i="1" a="1"/>
  <c r="AY177" i="1" a="1"/>
  <c r="BM254" i="1" a="1"/>
  <c r="AR254" i="1" a="1"/>
  <c r="BR176" i="1" a="1"/>
  <c r="BK262" i="1" a="1"/>
  <c r="BN176" i="1" a="1"/>
  <c r="S262" i="1" a="1"/>
  <c r="AW262" i="1" a="1"/>
  <c r="J247" i="1" a="1"/>
  <c r="AM177" i="1" a="1"/>
  <c r="BO262" i="1" a="1"/>
  <c r="CN176" i="1" a="1"/>
  <c r="AK255" i="1" a="1"/>
  <c r="CV247" i="1" a="1"/>
  <c r="BU177" i="1" a="1"/>
  <c r="CH247" i="1" a="1"/>
  <c r="BR254" i="1" a="1"/>
  <c r="BN177" i="1" a="1"/>
  <c r="BQ255" i="1" a="1"/>
  <c r="M255" i="1" a="1"/>
  <c r="AE255" i="1" a="1"/>
  <c r="BY255" i="1" a="1"/>
  <c r="CW254" i="1" a="1"/>
  <c r="BI177" i="1" a="1"/>
  <c r="P176" i="1" a="1"/>
  <c r="CR271" i="1" a="1"/>
  <c r="CB263" i="1" a="1"/>
  <c r="BB262" i="1" a="1"/>
  <c r="AR262" i="1" a="1"/>
  <c r="CO270" i="1" a="1"/>
  <c r="V246" i="1" a="1"/>
  <c r="O255" i="1" a="1"/>
  <c r="R262" i="1" a="1"/>
  <c r="AZ177" i="1" a="1"/>
  <c r="G254" i="1" a="1"/>
  <c r="AV262" i="1" a="1"/>
  <c r="L263" i="1" a="1"/>
  <c r="AA176" i="1" a="1"/>
  <c r="CW262" i="1" a="1"/>
  <c r="CR255" i="1" a="1"/>
  <c r="BS177" i="1" a="1"/>
  <c r="CP254" i="1" a="1"/>
  <c r="BD176" i="1" a="1"/>
  <c r="P255" i="1" a="1"/>
  <c r="BE176" i="1" a="1"/>
  <c r="AH270" i="1" a="1"/>
  <c r="CG255" i="1" a="1"/>
  <c r="AA271" i="1" a="1"/>
  <c r="G255" i="1" a="1"/>
  <c r="CK255" i="1" a="1"/>
  <c r="AX255" i="1" a="1"/>
  <c r="AB263" i="1" a="1"/>
  <c r="BT246" i="1" a="1"/>
  <c r="BU263" i="1" a="1"/>
  <c r="BI254" i="1" a="1"/>
  <c r="AJ271" i="1" a="1"/>
  <c r="CE247" i="1" a="1"/>
  <c r="AG177" i="1" a="1"/>
  <c r="CM176" i="1" a="1"/>
  <c r="AW247" i="1" a="1"/>
  <c r="CE263" i="1" a="1"/>
  <c r="AR177" i="1" a="1"/>
  <c r="O271" i="1" a="1"/>
  <c r="CF176" i="1" a="1"/>
  <c r="AU247" i="1" a="1"/>
  <c r="H270" i="1" a="1"/>
  <c r="AM247" i="1" a="1"/>
  <c r="BR271" i="1" a="1"/>
  <c r="P271" i="1" a="1"/>
  <c r="BO255" i="1" a="1"/>
  <c r="AP263" i="1" a="1"/>
  <c r="BD270" i="1" a="1"/>
  <c r="AD270" i="1" a="1"/>
  <c r="W263" i="1" a="1"/>
  <c r="E270" i="1" a="1"/>
  <c r="X177" i="1" a="1"/>
  <c r="N263" i="1" a="1"/>
  <c r="AK177" i="1" a="1"/>
  <c r="CF263" i="1" a="1"/>
  <c r="CU177" i="1" a="1"/>
  <c r="AJ247" i="1" a="1"/>
  <c r="BM255" i="1" a="1"/>
  <c r="L255" i="1" a="1"/>
  <c r="Z262" i="1" a="1"/>
  <c r="Z176" i="1" a="1"/>
  <c r="BM246" i="1" a="1"/>
  <c r="CL263" i="1" a="1"/>
  <c r="BG177" i="1" a="1"/>
  <c r="CN254" i="1" a="1"/>
  <c r="BR262" i="1" a="1"/>
  <c r="BB254" i="1" a="1"/>
  <c r="AX254" i="1" a="1"/>
  <c r="AL247" i="1" a="1"/>
  <c r="AZ254" i="1" a="1"/>
  <c r="BI262" i="1" a="1"/>
  <c r="O177" i="1" a="1"/>
  <c r="AH255" i="1" a="1"/>
  <c r="S254" i="1" a="1"/>
  <c r="BZ262" i="1" a="1"/>
  <c r="Y177" i="1" a="1"/>
  <c r="CL247" i="1" a="1"/>
  <c r="CJ263" i="1" a="1"/>
  <c r="AT254" i="1" a="1"/>
  <c r="CK176" i="1" a="1"/>
  <c r="CS270" i="1" a="1"/>
  <c r="AR263" i="1" a="1"/>
  <c r="AK262" i="1" a="1"/>
  <c r="U263" i="1" a="1"/>
  <c r="AQ176" i="1" a="1"/>
  <c r="M177" i="1" a="1"/>
  <c r="AG270" i="1" a="1"/>
  <c r="CN262" i="1" a="1"/>
  <c r="E177" i="1" a="1"/>
  <c r="AB246" i="1" a="1"/>
  <c r="AP177" i="1" a="1"/>
  <c r="CD247" i="1" a="1"/>
  <c r="CM263" i="1" a="1"/>
  <c r="AX176" i="1" a="1"/>
  <c r="CN270" i="1" a="1"/>
  <c r="AQ177" i="1" a="1"/>
  <c r="BT176" i="1" a="1"/>
  <c r="H263" i="1" a="1"/>
  <c r="BJ177" i="1" a="1"/>
  <c r="BV247" i="1" a="1"/>
  <c r="BY247" i="1" a="1"/>
  <c r="H176" i="1" a="1"/>
  <c r="BA254" i="1" a="1"/>
  <c r="AV246" i="1" a="1"/>
  <c r="AF176" i="1" a="1"/>
  <c r="CQ176" i="1" a="1"/>
  <c r="G263" i="1" a="1"/>
  <c r="BA270" i="1" a="1"/>
  <c r="W254" i="1" a="1"/>
  <c r="T254" i="1" a="1"/>
  <c r="Y254" i="1" a="1"/>
  <c r="AG255" i="1" a="1"/>
  <c r="Y262" i="1" a="1"/>
  <c r="CL270" i="1" a="1"/>
  <c r="BU246" i="1" a="1"/>
  <c r="CH270" i="1" a="1"/>
  <c r="CA262" i="1" a="1"/>
  <c r="F270" i="1" a="1"/>
  <c r="BA246" i="1" a="1"/>
  <c r="CQ270" i="1" a="1"/>
  <c r="AL263" i="1" a="1"/>
  <c r="AI271" i="1" a="1"/>
  <c r="BU247" i="1" a="1"/>
  <c r="CC247" i="1" a="1"/>
  <c r="CT271" i="1" a="1"/>
  <c r="BS254" i="1" a="1"/>
  <c r="CT247" i="1" a="1"/>
  <c r="AW176" i="1" a="1"/>
  <c r="BA247" i="1" a="1"/>
  <c r="BJ176" i="1" a="1"/>
  <c r="Q255" i="1" a="1"/>
  <c r="CO177" i="1" a="1"/>
  <c r="CJ254" i="1" a="1"/>
  <c r="CD263" i="1" a="1"/>
  <c r="BP271" i="1" a="1"/>
  <c r="AP270" i="1" a="1"/>
  <c r="BJ263" i="1" a="1"/>
  <c r="BS176" i="1" a="1"/>
  <c r="P262" i="1" a="1"/>
  <c r="BK263" i="1" a="1"/>
  <c r="BB270" i="1" a="1"/>
  <c r="CO271" i="1" a="1"/>
  <c r="H262" i="1" a="1"/>
  <c r="Y255" i="1" a="1"/>
  <c r="CD177" i="1" a="1"/>
  <c r="CL271" i="1" a="1"/>
  <c r="CG262" i="1" a="1"/>
  <c r="CR262" i="1" a="1"/>
  <c r="CW270" i="1" a="1"/>
  <c r="BW246" i="1" a="1"/>
  <c r="AE246" i="1" a="1"/>
  <c r="AQ254" i="1" a="1"/>
  <c r="CK247" i="1" a="1"/>
  <c r="CC271" i="1" a="1"/>
  <c r="CT255" i="1" a="1"/>
  <c r="AX262" i="1" a="1"/>
  <c r="AK263" i="1" a="1"/>
  <c r="E254" i="1" a="1"/>
  <c r="AE263" i="1" a="1"/>
  <c r="BN270" i="1" a="1"/>
  <c r="F262" i="1" a="1"/>
  <c r="V247" i="1" a="1"/>
  <c r="F176" i="1" a="1"/>
  <c r="CL176" i="1" a="1"/>
  <c r="K246" i="1" a="1"/>
  <c r="CJ262" i="1" a="1"/>
  <c r="BB176" i="1" a="1"/>
  <c r="BL254" i="1" a="1"/>
  <c r="CR176" i="1" a="1"/>
  <c r="BU255" i="1" a="1"/>
  <c r="AM255" i="1" a="1"/>
  <c r="BK271" i="1" a="1"/>
  <c r="BC255" i="1" a="1"/>
  <c r="K255" i="1" a="1"/>
  <c r="BS247" i="1" a="1"/>
  <c r="AN246" i="1" a="1"/>
  <c r="CG263" i="1" a="1"/>
  <c r="AC254" i="1" a="1"/>
  <c r="Z270" i="1" a="1"/>
  <c r="BR263" i="1" a="1"/>
  <c r="AD255" i="1" a="1"/>
  <c r="CO262" i="1" a="1"/>
  <c r="BY254" i="1" a="1"/>
  <c r="BK246" i="1" a="1"/>
  <c r="BW254" i="1" a="1"/>
  <c r="CE271" i="1" a="1"/>
  <c r="CN177" i="1" a="1"/>
  <c r="R255" i="1" a="1"/>
  <c r="BZ177" i="1" a="1"/>
  <c r="BE177" i="1" a="1"/>
  <c r="AG254" i="1" a="1"/>
  <c r="BT263" i="1" a="1"/>
  <c r="BS262" i="1" a="1"/>
  <c r="CH262" i="1" a="1"/>
  <c r="CA176" i="1" a="1"/>
  <c r="L271" i="1" a="1"/>
  <c r="BH271" i="1" a="1"/>
  <c r="AV271" i="1" a="1"/>
  <c r="BQ262" i="1" a="1"/>
  <c r="Q263" i="1" a="1"/>
  <c r="T176" i="1" a="1"/>
  <c r="CH177" i="1" a="1"/>
  <c r="L262" i="1" a="1"/>
  <c r="BQ246" i="1" a="1"/>
  <c r="BO271" i="1" a="1"/>
  <c r="CF270" i="1" a="1"/>
  <c r="AM263" i="1" a="1"/>
  <c r="AZ263" i="1" a="1"/>
  <c r="D255" i="1" a="1"/>
  <c r="CM270" i="1" a="1"/>
  <c r="AO262" i="1" a="1"/>
  <c r="H255" i="1" a="1"/>
  <c r="AM271" i="1" a="1"/>
  <c r="CT270" i="1" a="1"/>
  <c r="I247" i="1" a="1"/>
  <c r="CA255" i="1" a="1"/>
  <c r="AQ271" i="1" a="1"/>
  <c r="AY255" i="1" a="1"/>
  <c r="AF246" i="1" a="1"/>
  <c r="V255" i="1" a="1"/>
  <c r="I263" i="1" a="1"/>
  <c r="S270" i="1" a="1"/>
  <c r="AD176" i="1" a="1"/>
  <c r="CU271" i="1" a="1"/>
  <c r="O263" i="1" a="1"/>
  <c r="CC246" i="1" a="1"/>
  <c r="Y270" i="1" a="1"/>
  <c r="BN247" i="1" a="1"/>
  <c r="BQ177" i="1" a="1"/>
  <c r="BM247" i="1" a="1"/>
  <c r="L254" i="1" a="1"/>
  <c r="AV270" i="1" a="1"/>
  <c r="AZ262" i="1" a="1"/>
  <c r="CF254" i="1" a="1"/>
  <c r="BX177" i="1" a="1"/>
  <c r="BD254" i="1" a="1"/>
  <c r="BE270" i="1" a="1"/>
  <c r="CV271" i="1" a="1"/>
  <c r="T270" i="1" a="1"/>
  <c r="CQ262" i="1" a="1"/>
  <c r="AF247" i="1" a="1"/>
  <c r="BW176" i="1" a="1"/>
  <c r="M263" i="1" a="1"/>
  <c r="AD177" i="1" a="1"/>
  <c r="CD262" i="1" a="1"/>
  <c r="BL255" i="1" a="1"/>
  <c r="I271" i="1" a="1"/>
  <c r="CS262" i="1" a="1"/>
  <c r="AY262" i="1" a="1"/>
  <c r="CI255" i="1" a="1"/>
  <c r="BL270" i="1" a="1"/>
  <c r="BB271" i="1" a="1"/>
  <c r="CI247" i="1" a="1"/>
  <c r="Y247" i="1" a="1"/>
  <c r="BM263" i="1" a="1"/>
  <c r="K177" i="1" a="1"/>
  <c r="AD262" i="1" a="1"/>
  <c r="AL177" i="1" a="1"/>
  <c r="BG255" i="1" a="1"/>
  <c r="CX247" i="1" a="1"/>
  <c r="AI247" i="1" a="1"/>
  <c r="CX176" i="1" a="1"/>
  <c r="CQ263" i="1" a="1"/>
  <c r="AE270" i="1" a="1"/>
  <c r="AF255" i="1" a="1"/>
  <c r="BN255" i="1" a="1"/>
  <c r="CH263" i="1" a="1"/>
  <c r="S247" i="1" a="1"/>
  <c r="P263" i="1" a="1"/>
  <c r="AH262" i="1" a="1"/>
  <c r="W177" i="1" a="1"/>
  <c r="BM270" i="1" a="1"/>
  <c r="G262" i="1" a="1"/>
  <c r="E176" i="1" a="1"/>
  <c r="CE270" i="1" a="1"/>
  <c r="J270" i="1" a="1"/>
  <c r="BR255" i="1" a="1"/>
  <c r="BI246" i="1" a="1"/>
  <c r="H254" i="1" a="1"/>
  <c r="BT271" i="1" a="1"/>
  <c r="K271" i="1" a="1"/>
  <c r="Z246" i="1" a="1"/>
  <c r="U254" i="1" a="1"/>
  <c r="CX263" i="1" a="1"/>
  <c r="K176" i="1" a="1"/>
  <c r="AD246" i="1" a="1"/>
  <c r="S177" i="1" a="1"/>
  <c r="BD271" i="1" a="1"/>
  <c r="AA255" i="1" a="1"/>
  <c r="AV176" i="1" a="1"/>
  <c r="AU262" i="1" a="1"/>
  <c r="AC271" i="1" a="1"/>
  <c r="BX254" i="1" a="1"/>
  <c r="AT262" i="1" a="1"/>
  <c r="BE254" i="1" a="1"/>
  <c r="BF246" i="1" a="1"/>
  <c r="CM262" i="1" a="1"/>
  <c r="K270" i="1" a="1"/>
  <c r="N176" i="1" a="1"/>
  <c r="BO263" i="1" a="1"/>
  <c r="AD263" i="1" a="1"/>
  <c r="AR271" i="1" a="1"/>
  <c r="CE255" i="1" a="1"/>
  <c r="BG262" i="1" a="1"/>
  <c r="BX262" i="1" a="1"/>
  <c r="BA255" i="1" a="1"/>
  <c r="D177" i="1" a="1"/>
  <c r="AG271" i="1" a="1"/>
  <c r="CS263" i="1" a="1"/>
  <c r="L270" i="1" a="1"/>
  <c r="AP247" i="1" a="1"/>
  <c r="CL255" i="1" a="1"/>
  <c r="BW262" i="1" a="1"/>
  <c r="BB255" i="1" a="1"/>
  <c r="BK247" i="1" a="1"/>
  <c r="AP262" i="1" a="1"/>
  <c r="CN271" i="1" a="1"/>
  <c r="BL176" i="1" a="1"/>
  <c r="CB271" i="1" a="1"/>
  <c r="R270" i="1" a="1"/>
  <c r="BP247" i="1" a="1"/>
  <c r="BX270" i="1" a="1"/>
  <c r="CD270" i="1" a="1"/>
  <c r="D262" i="1" a="1"/>
  <c r="CD255" i="1" a="1"/>
  <c r="AN254" i="1" a="1"/>
  <c r="CV176" i="1" a="1"/>
  <c r="AO271" i="1" a="1"/>
  <c r="CP270" i="1" a="1"/>
  <c r="AB254" i="1" a="1"/>
  <c r="BC270" i="1" a="1"/>
  <c r="CP271" i="1" a="1"/>
  <c r="CC262" i="1" a="1"/>
  <c r="AI270" i="1" a="1"/>
  <c r="BH255" i="1" a="1"/>
  <c r="AI254" i="1" a="1"/>
  <c r="CV246" i="1" a="1"/>
  <c r="J262" i="1" a="1"/>
  <c r="O176" i="1" a="1"/>
  <c r="AK254" i="1" a="1"/>
  <c r="AC247" i="1" a="1"/>
  <c r="CD271" i="1" a="1"/>
  <c r="Z263" i="1" a="1"/>
  <c r="BX271" i="1" a="1"/>
  <c r="AO255" i="1" a="1"/>
  <c r="N270" i="1" a="1"/>
  <c r="V270" i="1" a="1"/>
  <c r="AX270" i="1" a="1"/>
  <c r="E247" i="1" a="1"/>
  <c r="CV263" i="1" a="1"/>
  <c r="CM271" i="1" a="1"/>
  <c r="AR246" i="1" a="1"/>
  <c r="AO246" i="1" a="1"/>
  <c r="AS271" i="1" a="1"/>
  <c r="BC263" i="1" a="1"/>
  <c r="AC262" i="1" a="1"/>
  <c r="BC271" i="1" a="1"/>
  <c r="CQ254" i="1" a="1"/>
  <c r="BN246" i="1" a="1"/>
  <c r="CP177" i="1" a="1"/>
  <c r="M262" i="1" a="1"/>
  <c r="CP246" i="1" a="1"/>
  <c r="AB247" i="1" a="1"/>
  <c r="BL247" i="1" a="1"/>
  <c r="AN177" i="1" a="1"/>
  <c r="BF262" i="1" a="1"/>
  <c r="BW271" i="1" a="1"/>
  <c r="BT255" i="1" a="1"/>
  <c r="AF270" i="1" a="1"/>
  <c r="BX246" i="1" a="1"/>
  <c r="J177" i="1" a="1"/>
  <c r="O262" i="1" a="1"/>
  <c r="R254" i="1" a="1"/>
  <c r="CW263" i="1" a="1"/>
  <c r="CJ246" i="1" a="1"/>
  <c r="CF246" i="1" a="1"/>
  <c r="AP176" i="1" a="1"/>
  <c r="BL246" i="1" a="1"/>
  <c r="AD271" i="1" a="1"/>
  <c r="BY271" i="1" a="1"/>
  <c r="CE254" i="1" a="1"/>
  <c r="AQ270" i="1" a="1"/>
  <c r="CB176" i="1" a="1"/>
  <c r="AS254" i="1" a="1"/>
  <c r="AH254" i="1" a="1"/>
  <c r="V263" i="1" a="1"/>
  <c r="CW246" i="1" a="1"/>
  <c r="CE246" i="1" a="1"/>
  <c r="N255" i="1" a="1"/>
  <c r="AC176" i="1" a="1"/>
  <c r="S176" i="1" a="1"/>
  <c r="CD254" i="1" a="1"/>
  <c r="CW176" i="1" a="1"/>
  <c r="BG246" i="1" a="1"/>
  <c r="BE262" i="1" a="1"/>
  <c r="Q247" i="1" a="1"/>
  <c r="BV271" i="1" a="1"/>
  <c r="AT177" i="1" a="1"/>
  <c r="BU262" i="1" a="1"/>
  <c r="CG271" i="1" a="1"/>
  <c r="BT262" i="1" a="1"/>
  <c r="BR270" i="1" a="1"/>
  <c r="R263" i="1" a="1"/>
  <c r="AD247" i="1" a="1"/>
  <c r="AI263" i="1" a="1"/>
  <c r="CH254" i="1" a="1"/>
  <c r="BJ271" i="1" a="1"/>
  <c r="AH176" i="1" a="1"/>
  <c r="L247" i="1" a="1"/>
  <c r="AJ262" i="1" a="1"/>
  <c r="CG246" i="1" a="1"/>
  <c r="BD263" i="1" a="1"/>
  <c r="AB271" i="1" a="1"/>
  <c r="W176" i="1" a="1"/>
  <c r="AZ270" i="1" a="1"/>
  <c r="BJ270" i="1" a="1"/>
  <c r="BL271" i="1" a="1"/>
  <c r="BM271" i="1" a="1"/>
  <c r="AU254" i="1" a="1"/>
  <c r="CU263" i="1" a="1"/>
  <c r="CT254" i="1" a="1"/>
  <c r="AR247" i="1" a="1"/>
  <c r="BS270" i="1" a="1"/>
  <c r="BJ255" i="1" a="1"/>
  <c r="AL255" i="1" a="1"/>
  <c r="BT270" i="1" a="1"/>
  <c r="AA262" i="1" a="1"/>
  <c r="CL262" i="1" a="1"/>
  <c r="BE263" i="1" a="1"/>
  <c r="CR263" i="1" a="1"/>
  <c r="BD262" i="1" a="1"/>
  <c r="AV263" i="1" a="1"/>
  <c r="AO270" i="1" a="1"/>
  <c r="BO176" i="1" a="1"/>
  <c r="N262" i="1" a="1"/>
  <c r="AH263" i="1" a="1"/>
  <c r="CA263" i="1" a="1"/>
  <c r="AW246" i="1" a="1"/>
  <c r="AS262" i="1" a="1"/>
  <c r="AE247" i="1" a="1"/>
  <c r="G177" i="1" a="1"/>
  <c r="F254" i="1" a="1"/>
  <c r="AT247" i="1" a="1"/>
  <c r="CF271" i="1" a="1"/>
  <c r="AZ271" i="1" a="1"/>
  <c r="AM254" i="1" a="1"/>
  <c r="AR270" i="1" a="1"/>
  <c r="AS176" i="1" a="1"/>
  <c r="BQ176" i="1" a="1"/>
  <c r="AQ247" i="1" a="1"/>
  <c r="AE177" i="1" a="1"/>
  <c r="CW247" i="1" a="1"/>
  <c r="BP270" i="1" a="1"/>
  <c r="N177" i="1" a="1"/>
  <c r="BE271" i="1" a="1"/>
  <c r="BR247" i="1" a="1"/>
  <c r="AM262" i="1" a="1"/>
  <c r="P270" i="1" a="1"/>
  <c r="I255" i="1" a="1"/>
  <c r="BW263" i="1" a="1"/>
  <c r="AI262" i="1" a="1"/>
  <c r="CT176" i="1" a="1"/>
  <c r="U270" i="1" a="1"/>
  <c r="I254" i="1" a="1"/>
  <c r="AZ176" i="1" a="1"/>
  <c r="CJ177" i="1" a="1"/>
  <c r="CH246" i="1" a="1"/>
  <c r="AS246" i="1" a="1"/>
  <c r="CW177" i="1" a="1"/>
  <c r="CF247" i="1" a="1"/>
  <c r="H246" i="1" a="1"/>
  <c r="BW255" i="1" a="1"/>
  <c r="BW270" i="1" a="1"/>
  <c r="AN247" i="1" a="1"/>
  <c r="CN247" i="1" a="1"/>
  <c r="CQ271" i="1" a="1"/>
  <c r="AF263" i="1" a="1"/>
  <c r="W246" i="1" a="1"/>
  <c r="AE271" i="1" a="1"/>
  <c r="BT177" i="1" a="1"/>
  <c r="BC262" i="1" a="1"/>
  <c r="BQ254" i="1" a="1"/>
  <c r="AY271" i="1" a="1"/>
  <c r="AN262" i="1" a="1"/>
  <c r="BZ247" i="1" a="1"/>
  <c r="AQ263" i="1" a="1"/>
  <c r="AU255" i="1" a="1"/>
  <c r="BE246" i="1" a="1"/>
  <c r="BU254" i="1" a="1"/>
  <c r="CS176" i="1" a="1"/>
  <c r="AO176" i="1" a="1"/>
  <c r="CD246" i="1" a="1"/>
  <c r="F246" i="1" a="1"/>
  <c r="CB270" i="1" a="1"/>
  <c r="W255" i="1" a="1"/>
  <c r="Z254" i="1" a="1"/>
  <c r="CF177" i="1" a="1"/>
  <c r="BA176" i="1" a="1"/>
  <c r="AN271" i="1" a="1"/>
  <c r="AK270" i="1" a="1"/>
  <c r="BX263" i="1" a="1"/>
  <c r="K262" i="1" a="1"/>
  <c r="AG247" i="1" a="1"/>
  <c r="V262" i="1" a="1"/>
  <c r="AH271" i="1" a="1"/>
  <c r="CH271" i="1" a="1"/>
  <c r="F247" i="1" a="1"/>
  <c r="BX247" i="1" a="1"/>
  <c r="AA263" i="1" a="1"/>
  <c r="BH254" i="1" a="1"/>
  <c r="AG246" i="1" a="1"/>
  <c r="BP176" i="1" a="1"/>
  <c r="BO254" i="1" a="1"/>
  <c r="CU255" i="1" a="1"/>
  <c r="AQ246" i="1" a="1"/>
  <c r="CR254" i="1" a="1"/>
  <c r="P247" i="1" a="1"/>
  <c r="W262" i="1" a="1"/>
  <c r="AL176" i="1" a="1"/>
  <c r="J246" i="1" a="1"/>
  <c r="AC177" i="1" a="1"/>
  <c r="CR177" i="1" a="1"/>
  <c r="CF255" i="1" a="1"/>
  <c r="I246" i="1" a="1"/>
  <c r="X270" i="1" a="1"/>
  <c r="AP246" i="1" a="1"/>
  <c r="F271" i="1" a="1"/>
  <c r="E263" i="1" a="1"/>
  <c r="D270" i="1" a="1"/>
  <c r="AO247" i="1" a="1"/>
  <c r="AG263" i="1" a="1"/>
  <c r="T247" i="1" a="1"/>
  <c r="AF271" i="1" a="1"/>
  <c r="G246" i="1" a="1"/>
  <c r="AG176" i="1" a="1"/>
  <c r="BA263" i="1" a="1"/>
  <c r="CQ246" i="1" a="1"/>
  <c r="BY270" i="1" a="1"/>
  <c r="AB176" i="1" a="1"/>
  <c r="BE255" i="1" a="1"/>
  <c r="AJ255" i="1" a="1"/>
  <c r="CI254" i="1" a="1"/>
  <c r="BU271" i="1" a="1"/>
  <c r="AL246" i="1" a="1"/>
  <c r="CC263" i="1" a="1"/>
  <c r="BN262" i="1" a="1"/>
  <c r="R177" i="1" a="1"/>
  <c r="T271" i="1" a="1"/>
  <c r="AC263" i="1" a="1"/>
  <c r="BH263" i="1" a="1"/>
  <c r="BL177" i="1" a="1"/>
  <c r="CJ271" i="1" a="1"/>
  <c r="F263" i="1" a="1"/>
  <c r="AN255" i="1" a="1"/>
  <c r="CB262" i="1" a="1"/>
  <c r="AM270" i="1" a="1"/>
  <c r="BS246" i="1" a="1"/>
  <c r="CO263" i="1" a="1"/>
  <c r="AV247" i="1" a="1"/>
  <c r="BC254" i="1" a="1"/>
  <c r="I270" i="1" a="1"/>
  <c r="BI176" i="1" a="1"/>
  <c r="BL263" i="1" a="1"/>
  <c r="BY246" i="1" a="1"/>
  <c r="BI270" i="1" a="1"/>
  <c r="P177" i="1" a="1"/>
  <c r="R271" i="1" a="1"/>
  <c r="E262" i="1" a="1"/>
  <c r="O247" i="1" a="1"/>
  <c r="BB247" i="1" a="1"/>
  <c r="I176" i="1" a="1"/>
  <c r="Z177" i="1" a="1"/>
  <c r="X255" i="1" a="1"/>
  <c r="Z255" i="1" a="1"/>
  <c r="U271" i="1" a="1"/>
  <c r="AV177" i="1" a="1"/>
  <c r="BM176" i="1" a="1"/>
  <c r="CA271" i="1" a="1"/>
  <c r="T246" i="1" a="1"/>
  <c r="AP271" i="1" a="1"/>
  <c r="Q176" i="1" a="1"/>
  <c r="CG270" i="1" a="1"/>
  <c r="BP263" i="1" a="1"/>
  <c r="BS263" i="1" a="1"/>
  <c r="CB247" i="1" a="1"/>
  <c r="AI246" i="1" a="1"/>
  <c r="BN271" i="1" a="1"/>
  <c r="CV270" i="1" a="1"/>
  <c r="AP254" i="1" a="1"/>
  <c r="U176" i="1" a="1"/>
  <c r="AU176" i="1" a="1"/>
  <c r="CS246" i="1" a="1"/>
  <c r="J254" i="1" a="1"/>
  <c r="CO247" i="1" a="1"/>
  <c r="O270" i="1" a="1"/>
  <c r="BM177" i="1" a="1"/>
  <c r="BZ271" i="1" a="1"/>
  <c r="E255" i="1" a="1"/>
  <c r="AU246" i="1" a="1"/>
  <c r="AT271" i="1" a="1"/>
  <c r="S255" i="1" a="1"/>
  <c r="X247" i="1" a="1"/>
  <c r="BF255" i="1" a="1"/>
  <c r="CA177" i="1" a="1"/>
  <c r="CT263" i="1" a="1"/>
  <c r="V176" i="1" a="1"/>
  <c r="W247" i="1" a="1"/>
  <c r="AT255" i="1" a="1"/>
  <c r="G270" i="1" a="1"/>
  <c r="BY263" i="1" a="1"/>
  <c r="AH177" i="1" a="1"/>
  <c r="AE262" i="1" a="1"/>
  <c r="D246" i="1" a="1"/>
  <c r="T177" i="1" a="1"/>
  <c r="CH255" i="1" a="1"/>
  <c r="CP247" i="1" a="1"/>
  <c r="AF254" i="1" a="1"/>
  <c r="U247" i="1" a="1"/>
  <c r="M271" i="1" a="1"/>
  <c r="X262" i="1" a="1"/>
  <c r="AW270" i="1" a="1"/>
  <c r="BV246" i="1" a="1"/>
  <c r="BU270" i="1" a="1"/>
  <c r="X271" i="1" a="1"/>
  <c r="CB254" i="1" a="1"/>
  <c r="BM262" i="1" a="1"/>
  <c r="G176" i="1" a="1"/>
  <c r="CR270" i="1" a="1"/>
  <c r="BJ254" i="1" a="1"/>
  <c r="CS255" i="1" a="1"/>
  <c r="AO254" i="1" a="1"/>
  <c r="AJ263" i="1" a="1"/>
  <c r="BT254" i="1" a="1"/>
  <c r="H177" i="1" a="1"/>
  <c r="CO255" i="1" a="1"/>
  <c r="AJ176" i="1" a="1"/>
  <c r="BF270" i="1" a="1"/>
  <c r="BP177" i="1" a="1"/>
  <c r="AK247" i="1" a="1"/>
  <c r="CX270" i="1" a="1"/>
  <c r="R176" i="1" a="1"/>
  <c r="CC177" i="1" a="1"/>
  <c r="BA262" i="1" a="1"/>
  <c r="BP254" i="1" a="1"/>
  <c r="V177" i="1" a="1"/>
  <c r="K254" i="1" a="1"/>
  <c r="AM176" i="1" a="1"/>
  <c r="BT247" i="1" a="1"/>
  <c r="R246" i="1" a="1"/>
  <c r="CH176" i="1" a="1"/>
  <c r="AX246" i="1" a="1"/>
  <c r="AW254" i="1" a="1"/>
  <c r="CL254" i="1" a="1"/>
  <c r="CU262" i="1" a="1"/>
  <c r="N271" i="1" a="1"/>
  <c r="BW247" i="1" a="1"/>
  <c r="AH246" i="1" a="1"/>
  <c r="L21" i="1" a="1"/>
  <c r="F23" i="1" a="1"/>
  <c r="H23" i="1" a="1"/>
  <c r="N73" i="1" a="1"/>
  <c r="CS71" i="1" a="1"/>
  <c r="Z73" i="1" a="1"/>
  <c r="J73" i="1" a="1"/>
  <c r="BL23" i="1" a="1"/>
  <c r="CK73" i="1" a="1"/>
  <c r="CO73" i="1" a="1"/>
  <c r="AC23" i="1" a="1"/>
  <c r="CK23" i="1" a="1"/>
  <c r="CI73" i="1" a="1"/>
  <c r="X71" i="1" a="1"/>
  <c r="Y71" i="1" a="1"/>
  <c r="CC23" i="1" a="1"/>
  <c r="BM23" i="1" a="1"/>
  <c r="CF71" i="1" a="1"/>
  <c r="AD23" i="1" a="1"/>
  <c r="CJ71" i="1" a="1"/>
  <c r="CW71" i="1" a="1"/>
  <c r="CT21" i="1" a="1"/>
  <c r="D23" i="1" a="1"/>
  <c r="L71" i="1" a="1"/>
  <c r="AT21" i="1" a="1"/>
  <c r="BU21" i="1" a="1"/>
  <c r="CL73" i="1" a="1"/>
  <c r="Z21" i="1" a="1"/>
  <c r="BC73" i="1" a="1"/>
  <c r="CU23" i="1" a="1"/>
  <c r="CM23" i="1" a="1"/>
  <c r="CT23" i="1" a="1"/>
  <c r="CJ23" i="1" a="1"/>
  <c r="AV23" i="1" a="1"/>
  <c r="U71" i="1" a="1"/>
  <c r="BT71" i="1" a="1"/>
  <c r="BA73" i="1" a="1"/>
  <c r="BK21" i="1" a="1"/>
  <c r="BH73" i="1" a="1"/>
  <c r="W73" i="1" a="1"/>
  <c r="BO71" i="1" a="1"/>
  <c r="BD73" i="1" a="1"/>
  <c r="AH71" i="1" a="1"/>
  <c r="AL21" i="1" a="1"/>
  <c r="V21" i="1" a="1"/>
  <c r="BI21" i="1" a="1"/>
  <c r="X21" i="1" a="1"/>
  <c r="G21" i="1" a="1"/>
  <c r="M73" i="1" a="1"/>
  <c r="CV21" i="1" a="1"/>
  <c r="CE71" i="1" a="1"/>
  <c r="R23" i="1" a="1"/>
  <c r="CD21" i="1" a="1"/>
  <c r="K71" i="1" a="1"/>
  <c r="AZ71" i="1" a="1"/>
  <c r="P71" i="1" a="1"/>
  <c r="BE23" i="1" a="1"/>
  <c r="C23" i="1" a="1"/>
  <c r="J23" i="1" a="1"/>
  <c r="CC21" i="1" a="1"/>
  <c r="BZ73" i="1" a="1"/>
  <c r="BC23" i="1" a="1"/>
  <c r="BA21" i="1" a="1"/>
  <c r="BG21" i="1" a="1"/>
  <c r="BJ73" i="1" a="1"/>
  <c r="G71" i="1" a="1"/>
  <c r="O71" i="1" a="1"/>
  <c r="BP21" i="1" a="1"/>
  <c r="BN23" i="1" a="1"/>
  <c r="BE71" i="1" a="1"/>
  <c r="CG21" i="1" a="1"/>
  <c r="AR23" i="1" a="1"/>
  <c r="E23" i="1" a="1"/>
  <c r="C21" i="1" a="1"/>
  <c r="BD21" i="1" a="1"/>
  <c r="AD21" i="1" a="1"/>
  <c r="V73" i="1" a="1"/>
  <c r="BX73" i="1" a="1"/>
  <c r="CR21" i="1" a="1"/>
  <c r="BI23" i="1" a="1"/>
  <c r="AO73" i="1" a="1"/>
  <c r="CP73" i="1" a="1"/>
  <c r="CJ73" i="1" a="1"/>
  <c r="CI21" i="1" a="1"/>
  <c r="CB21" i="1" a="1"/>
  <c r="N23" i="1" a="1"/>
  <c r="AV73" i="1" a="1"/>
  <c r="BU71" i="1" a="1"/>
  <c r="K23" i="1" a="1"/>
  <c r="K21" i="1" a="1"/>
  <c r="R73" i="1" a="1"/>
  <c r="BG73" i="1" a="1"/>
  <c r="BP71" i="1" a="1"/>
  <c r="I71" i="1" a="1"/>
  <c r="BB73" i="1" a="1"/>
  <c r="AF71" i="1" a="1"/>
  <c r="AE71" i="1" a="1"/>
  <c r="CE21" i="1" a="1"/>
  <c r="CA21" i="1" a="1"/>
  <c r="CN71" i="1" a="1"/>
  <c r="S71" i="1" a="1"/>
  <c r="BF23" i="1" a="1"/>
  <c r="AN23" i="1" a="1"/>
  <c r="BJ71" i="1" a="1"/>
  <c r="F71" i="1" a="1"/>
  <c r="CV73" i="1" a="1"/>
  <c r="BK73" i="1" a="1"/>
  <c r="O73" i="1" a="1"/>
  <c r="CQ21" i="1" a="1"/>
  <c r="E71" i="1" a="1"/>
  <c r="AK73" i="1" a="1"/>
  <c r="BD71" i="1" a="1"/>
  <c r="AJ21" i="1" a="1"/>
  <c r="BZ71" i="1" a="1"/>
  <c r="AS23" i="1" a="1"/>
  <c r="D71" i="1" a="1"/>
  <c r="BY23" i="1" a="1"/>
  <c r="BZ23" i="1" a="1"/>
  <c r="AO71" i="1" a="1"/>
  <c r="I21" i="1" a="1"/>
  <c r="AU21" i="1" a="1"/>
  <c r="AN21" i="1" a="1"/>
  <c r="R21" i="1" a="1"/>
  <c r="BR23" i="1" a="1"/>
  <c r="CB73" i="1" a="1"/>
  <c r="P73" i="1" a="1"/>
  <c r="CS73" i="1" a="1"/>
  <c r="BO23" i="1" a="1"/>
  <c r="Q23" i="1" a="1"/>
  <c r="CM73" i="1" a="1"/>
  <c r="AB23" i="1" a="1"/>
  <c r="CW73" i="1" a="1"/>
  <c r="BF21" i="1" a="1"/>
  <c r="CQ23" i="1" a="1"/>
  <c r="H21" i="1" a="1"/>
  <c r="AJ71" i="1" a="1"/>
  <c r="AY73" i="1" a="1"/>
  <c r="AU23" i="1" a="1"/>
  <c r="BM73" i="1" a="1"/>
  <c r="CR73" i="1" a="1"/>
  <c r="BU23" i="1" a="1"/>
  <c r="AR73" i="1" a="1"/>
  <c r="AF23" i="1" a="1"/>
  <c r="AT71" i="1" a="1"/>
  <c r="E21" i="1" a="1"/>
  <c r="BQ21" i="1" a="1"/>
  <c r="AY23" i="1" a="1"/>
  <c r="AV71" i="1" a="1"/>
  <c r="AM21" i="1" a="1"/>
  <c r="T71" i="1" a="1"/>
  <c r="X73" i="1" a="1"/>
  <c r="V23" i="1" a="1"/>
  <c r="CV71" i="1" a="1"/>
  <c r="BV21" i="1" a="1"/>
  <c r="AD73" i="1" a="1"/>
  <c r="E73" i="1" a="1"/>
  <c r="BV71" i="1" a="1"/>
  <c r="BB23" i="1" a="1"/>
  <c r="CN23" i="1" a="1"/>
  <c r="AL71" i="1" a="1"/>
  <c r="CT73" i="1" a="1"/>
  <c r="AE23" i="1" a="1"/>
  <c r="CO23" i="1" a="1"/>
  <c r="CH71" i="1" a="1"/>
  <c r="BT73" i="1" a="1"/>
  <c r="Y23" i="1" a="1"/>
  <c r="AX23" i="1" a="1"/>
  <c r="AF73" i="1" a="1"/>
  <c r="CP71" i="1" a="1"/>
  <c r="H71" i="1" a="1"/>
  <c r="CM71" i="1" a="1"/>
  <c r="T21" i="1" a="1"/>
  <c r="CK21" i="1" a="1"/>
  <c r="AW71" i="1" a="1"/>
  <c r="AS21" i="1" a="1"/>
  <c r="BW71" i="1" a="1"/>
  <c r="BI73" i="1" a="1"/>
  <c r="N21" i="1" a="1"/>
  <c r="AQ73" i="1" a="1"/>
  <c r="G23" i="1" a="1"/>
  <c r="CD23" i="1" a="1"/>
  <c r="C71" i="1" a="1"/>
  <c r="U23" i="1" a="1"/>
  <c r="CR23" i="1" a="1"/>
  <c r="BG71" i="1" a="1"/>
  <c r="Z23" i="1" a="1"/>
  <c r="L23" i="1" a="1"/>
  <c r="BR73" i="1" a="1"/>
  <c r="AY21" i="1" a="1"/>
  <c r="AA71" i="1" a="1"/>
  <c r="BN73" i="1" a="1"/>
  <c r="BU73" i="1" a="1"/>
  <c r="AZ73" i="1" a="1"/>
  <c r="AT73" i="1" a="1"/>
  <c r="H73" i="1" a="1"/>
  <c r="CO71" i="1" a="1"/>
  <c r="AC71" i="1" a="1"/>
  <c r="AE73" i="1" a="1"/>
  <c r="CK71" i="1" a="1"/>
  <c r="CU21" i="1" a="1"/>
  <c r="Q21" i="1" a="1"/>
  <c r="BH21" i="1" a="1"/>
  <c r="BT21" i="1" a="1"/>
  <c r="N71" i="1" a="1"/>
  <c r="BX21" i="1" a="1"/>
  <c r="BR71" i="1" a="1"/>
  <c r="CI71" i="1" a="1"/>
  <c r="BF71" i="1" a="1"/>
  <c r="CB71" i="1" a="1"/>
  <c r="AP23" i="1" a="1"/>
  <c r="CG73" i="1" a="1"/>
  <c r="AX21" i="1" a="1"/>
  <c r="AG71" i="1" a="1"/>
  <c r="AD71" i="1" a="1"/>
  <c r="BW21" i="1" a="1"/>
  <c r="CH23" i="1" a="1"/>
  <c r="AK71" i="1" a="1"/>
  <c r="G73" i="1" a="1"/>
  <c r="AJ23" i="1" a="1"/>
  <c r="BE21" i="1" a="1"/>
  <c r="BL21" i="1" a="1"/>
  <c r="P23" i="1" a="1"/>
  <c r="CB23" i="1" a="1"/>
  <c r="AY71" i="1" a="1"/>
  <c r="CD71" i="1" a="1"/>
  <c r="BF73" i="1" a="1"/>
  <c r="BY21" i="1" a="1"/>
  <c r="AP71" i="1" a="1"/>
  <c r="CP21" i="1" a="1"/>
  <c r="O23" i="1" a="1"/>
  <c r="BS23" i="1" a="1"/>
  <c r="AG23" i="1" a="1"/>
  <c r="D21" i="1" a="1"/>
  <c r="M21" i="1" a="1"/>
  <c r="CH73" i="1" a="1"/>
  <c r="Z71" i="1" a="1"/>
  <c r="AW73" i="1" a="1"/>
  <c r="AS73" i="1" a="1"/>
  <c r="AZ23" i="1" a="1"/>
  <c r="CW23" i="1" a="1"/>
  <c r="O21" i="1" a="1"/>
  <c r="M71" i="1" a="1"/>
  <c r="BX71" i="1" a="1"/>
  <c r="CC73" i="1" a="1"/>
  <c r="BS71" i="1" a="1"/>
  <c r="CD73" i="1" a="1"/>
  <c r="BT23" i="1" a="1"/>
  <c r="BQ23" i="1" a="1"/>
  <c r="AR71" i="1" a="1"/>
  <c r="Q73" i="1" a="1"/>
  <c r="CL71" i="1" a="1"/>
  <c r="AM23" i="1" a="1"/>
  <c r="T73" i="1" a="1"/>
  <c r="AF21" i="1" a="1"/>
  <c r="CN21" i="1" a="1"/>
  <c r="S23" i="1" a="1"/>
  <c r="BH71" i="1" a="1"/>
  <c r="AI23" i="1" a="1"/>
  <c r="CO21" i="1" a="1"/>
  <c r="AM73" i="1" a="1"/>
  <c r="CR71" i="1" a="1"/>
  <c r="BJ23" i="1" a="1"/>
  <c r="BM71" i="1" a="1"/>
  <c r="AN73" i="1" a="1"/>
  <c r="V71" i="1" a="1"/>
  <c r="I23" i="1" a="1"/>
  <c r="BL73" i="1" a="1"/>
  <c r="Y73" i="1" a="1"/>
  <c r="BO21" i="1" a="1"/>
  <c r="AP73" i="1" a="1"/>
  <c r="AH21" i="1" a="1"/>
  <c r="BN21" i="1" a="1"/>
  <c r="BR21" i="1" a="1"/>
  <c r="BX23" i="1" a="1"/>
  <c r="CG71" i="1" a="1"/>
  <c r="P21" i="1" a="1"/>
  <c r="AI71" i="1" a="1"/>
  <c r="BB71" i="1" a="1"/>
  <c r="BL71" i="1" a="1"/>
  <c r="X23" i="1" a="1"/>
  <c r="BW73" i="1" a="1"/>
  <c r="BY71" i="1" a="1"/>
  <c r="CL23" i="1" a="1"/>
  <c r="BZ21" i="1" a="1"/>
  <c r="C73" i="1" a="1"/>
  <c r="K73" i="1" a="1"/>
  <c r="BC71" i="1" a="1"/>
  <c r="BN71" i="1" a="1"/>
  <c r="BP23" i="1" a="1"/>
  <c r="AB73" i="1" a="1"/>
  <c r="R71" i="1" a="1"/>
  <c r="CU73" i="1" a="1"/>
  <c r="CA71" i="1" a="1"/>
  <c r="CU71" i="1" a="1"/>
  <c r="AV21" i="1" a="1"/>
  <c r="BA71" i="1" a="1"/>
  <c r="CS23" i="1" a="1"/>
  <c r="AX73" i="1" a="1"/>
  <c r="AG21" i="1" a="1"/>
  <c r="BS21" i="1" a="1"/>
  <c r="Q71" i="1" a="1"/>
  <c r="AQ23" i="1" a="1"/>
  <c r="CI23" i="1" a="1"/>
  <c r="U73" i="1" a="1"/>
  <c r="AQ71" i="1" a="1"/>
  <c r="I73" i="1" a="1"/>
  <c r="BV73" i="1" a="1"/>
  <c r="F73" i="1" a="1"/>
  <c r="BJ21" i="1" a="1"/>
  <c r="CE73" i="1" a="1"/>
  <c r="F21" i="1" a="1"/>
  <c r="AG73" i="1" a="1"/>
  <c r="W23" i="1" a="1"/>
  <c r="CN73" i="1" a="1"/>
  <c r="BS73" i="1" a="1"/>
  <c r="BD23" i="1" a="1"/>
  <c r="AH73" i="1" a="1"/>
  <c r="AC21" i="1" a="1"/>
  <c r="CF23" i="1" a="1"/>
  <c r="AI73" i="1" a="1"/>
  <c r="AW23" i="1" a="1"/>
  <c r="L73" i="1" a="1"/>
  <c r="S73" i="1" a="1"/>
  <c r="BQ73" i="1" a="1"/>
  <c r="AW21" i="1" a="1"/>
  <c r="AE21" i="1" a="1"/>
  <c r="Y21" i="1" a="1"/>
  <c r="CC71" i="1" a="1"/>
  <c r="BK23" i="1" a="1"/>
  <c r="AB71" i="1" a="1"/>
  <c r="CQ71" i="1" a="1"/>
  <c r="CJ21" i="1" a="1"/>
  <c r="AC73" i="1" a="1"/>
  <c r="CA73" i="1" a="1"/>
  <c r="AK23" i="1" a="1"/>
  <c r="AL23" i="1" a="1"/>
  <c r="CM21" i="1" a="1"/>
  <c r="AU71" i="1" a="1"/>
  <c r="AA23" i="1" a="1"/>
  <c r="CG23" i="1" a="1"/>
  <c r="AN71" i="1" a="1"/>
  <c r="CH21" i="1" a="1"/>
  <c r="BK71" i="1" a="1"/>
  <c r="AX71" i="1" a="1"/>
  <c r="BG23" i="1" a="1"/>
  <c r="CT71" i="1" a="1"/>
  <c r="S21" i="1" a="1"/>
  <c r="T23" i="1" a="1"/>
  <c r="BB21" i="1" a="1"/>
  <c r="BH23" i="1" a="1"/>
  <c r="U21" i="1" a="1"/>
  <c r="AQ21" i="1" a="1"/>
  <c r="AZ21" i="1" a="1"/>
  <c r="CV23" i="1" a="1"/>
  <c r="AU73" i="1" a="1"/>
  <c r="J21" i="1" a="1"/>
  <c r="AP21" i="1" a="1"/>
  <c r="BW23" i="1" a="1"/>
  <c r="AM71" i="1" a="1"/>
  <c r="CA23" i="1" a="1"/>
  <c r="M23" i="1" a="1"/>
  <c r="BE73" i="1" a="1"/>
  <c r="AO23" i="1" a="1"/>
  <c r="BQ71" i="1" a="1"/>
  <c r="CW21" i="1" a="1"/>
  <c r="BC21" i="1" a="1"/>
  <c r="BV23" i="1" a="1"/>
  <c r="AA21" i="1" a="1"/>
  <c r="CS21" i="1" a="1"/>
  <c r="BO73" i="1" a="1"/>
  <c r="AA73" i="1" a="1"/>
  <c r="CE23" i="1" a="1"/>
  <c r="AL73" i="1" a="1"/>
  <c r="BM21" i="1" a="1"/>
  <c r="CP23" i="1" a="1"/>
  <c r="AH23" i="1" a="1"/>
  <c r="D73" i="1" a="1"/>
  <c r="BP73" i="1" a="1"/>
  <c r="AS71" i="1" a="1"/>
  <c r="CL21" i="1" a="1"/>
  <c r="AB21" i="1" a="1"/>
  <c r="BI71" i="1" a="1"/>
  <c r="BY73" i="1" a="1"/>
  <c r="AR21" i="1" a="1"/>
  <c r="W21" i="1" a="1"/>
  <c r="AT23" i="1" a="1"/>
  <c r="AK21" i="1" a="1"/>
  <c r="J71" i="1" a="1"/>
  <c r="AO21" i="1" a="1"/>
  <c r="CF73" i="1" a="1"/>
  <c r="BA23" i="1" a="1"/>
  <c r="CF21" i="1" a="1"/>
  <c r="W71" i="1" a="1"/>
  <c r="AI21" i="1" a="1"/>
  <c r="AJ73" i="1" a="1"/>
  <c r="CQ73" i="1" a="1"/>
  <c r="CQ73" i="1" l="1"/>
  <c r="CQ97" i="1" s="1"/>
  <c r="AJ73" i="1"/>
  <c r="AJ97" i="1" s="1"/>
  <c r="AI21" i="1"/>
  <c r="AI47" i="1" s="1"/>
  <c r="W71" i="1"/>
  <c r="W95" i="1" s="1"/>
  <c r="CF21" i="1"/>
  <c r="CF47" i="1" s="1"/>
  <c r="BA23" i="1"/>
  <c r="BA49" i="1" s="1"/>
  <c r="CF73" i="1"/>
  <c r="CF97" i="1" s="1"/>
  <c r="AO21" i="1"/>
  <c r="AO47" i="1" s="1"/>
  <c r="J71" i="1"/>
  <c r="J95" i="1" s="1"/>
  <c r="AK21" i="1"/>
  <c r="AK47" i="1" s="1"/>
  <c r="AT23" i="1"/>
  <c r="AT49" i="1" s="1"/>
  <c r="W21" i="1"/>
  <c r="W47" i="1" s="1"/>
  <c r="AR21" i="1"/>
  <c r="AR47" i="1" s="1"/>
  <c r="BY73" i="1"/>
  <c r="BY97" i="1" s="1"/>
  <c r="BI71" i="1"/>
  <c r="BI95" i="1" s="1"/>
  <c r="AB21" i="1"/>
  <c r="AB47" i="1" s="1"/>
  <c r="CL21" i="1"/>
  <c r="CL47" i="1" s="1"/>
  <c r="AS71" i="1"/>
  <c r="AS95" i="1" s="1"/>
  <c r="BP73" i="1"/>
  <c r="BP97" i="1" s="1"/>
  <c r="D73" i="1"/>
  <c r="D97" i="1" s="1"/>
  <c r="AH23" i="1"/>
  <c r="AH49" i="1" s="1"/>
  <c r="CP23" i="1"/>
  <c r="CP49" i="1" s="1"/>
  <c r="BM21" i="1"/>
  <c r="BM47" i="1" s="1"/>
  <c r="AL73" i="1"/>
  <c r="AL97" i="1" s="1"/>
  <c r="CE23" i="1"/>
  <c r="CE49" i="1" s="1"/>
  <c r="AA73" i="1"/>
  <c r="AA97" i="1" s="1"/>
  <c r="BO73" i="1"/>
  <c r="BO97" i="1" s="1"/>
  <c r="CS21" i="1"/>
  <c r="CS47" i="1" s="1"/>
  <c r="AA21" i="1"/>
  <c r="AA47" i="1" s="1"/>
  <c r="BV23" i="1"/>
  <c r="BV49" i="1" s="1"/>
  <c r="BC21" i="1"/>
  <c r="BC47" i="1" s="1"/>
  <c r="CW21" i="1"/>
  <c r="CW47" i="1" s="1"/>
  <c r="BQ71" i="1"/>
  <c r="BQ95" i="1" s="1"/>
  <c r="AO23" i="1"/>
  <c r="AO49" i="1" s="1"/>
  <c r="BE73" i="1"/>
  <c r="BE97" i="1" s="1"/>
  <c r="M23" i="1"/>
  <c r="M49" i="1" s="1"/>
  <c r="CA23" i="1"/>
  <c r="CA49" i="1" s="1"/>
  <c r="AM71" i="1"/>
  <c r="AM95" i="1" s="1"/>
  <c r="BW23" i="1"/>
  <c r="BW49" i="1" s="1"/>
  <c r="AP21" i="1"/>
  <c r="AP47" i="1" s="1"/>
  <c r="J21" i="1"/>
  <c r="J47" i="1" s="1"/>
  <c r="AU73" i="1"/>
  <c r="AU97" i="1" s="1"/>
  <c r="CV23" i="1"/>
  <c r="CV49" i="1" s="1"/>
  <c r="AZ21" i="1"/>
  <c r="AZ47" i="1" s="1"/>
  <c r="AQ21" i="1"/>
  <c r="AQ47" i="1" s="1"/>
  <c r="U21" i="1"/>
  <c r="U47" i="1" s="1"/>
  <c r="BH23" i="1"/>
  <c r="BH49" i="1" s="1"/>
  <c r="BB21" i="1"/>
  <c r="BB47" i="1" s="1"/>
  <c r="T23" i="1"/>
  <c r="T49" i="1" s="1"/>
  <c r="S21" i="1"/>
  <c r="S47" i="1" s="1"/>
  <c r="CT71" i="1"/>
  <c r="CT95" i="1" s="1"/>
  <c r="BG23" i="1"/>
  <c r="BG49" i="1" s="1"/>
  <c r="AX71" i="1"/>
  <c r="AX95" i="1" s="1"/>
  <c r="BK71" i="1"/>
  <c r="BK95" i="1" s="1"/>
  <c r="CH21" i="1"/>
  <c r="CH47" i="1" s="1"/>
  <c r="AN71" i="1"/>
  <c r="AN95" i="1" s="1"/>
  <c r="CG23" i="1"/>
  <c r="CG49" i="1" s="1"/>
  <c r="AA23" i="1"/>
  <c r="AA49" i="1" s="1"/>
  <c r="AU71" i="1"/>
  <c r="AU95" i="1" s="1"/>
  <c r="CM21" i="1"/>
  <c r="CM47" i="1" s="1"/>
  <c r="AL23" i="1"/>
  <c r="AL49" i="1" s="1"/>
  <c r="AK23" i="1"/>
  <c r="AK49" i="1" s="1"/>
  <c r="CA73" i="1"/>
  <c r="CA97" i="1" s="1"/>
  <c r="AC73" i="1"/>
  <c r="AC97" i="1" s="1"/>
  <c r="CJ21" i="1"/>
  <c r="CJ47" i="1" s="1"/>
  <c r="CQ71" i="1"/>
  <c r="CQ95" i="1" s="1"/>
  <c r="AB71" i="1"/>
  <c r="AB95" i="1" s="1"/>
  <c r="BK23" i="1"/>
  <c r="BK49" i="1" s="1"/>
  <c r="CC71" i="1"/>
  <c r="CC95" i="1" s="1"/>
  <c r="Y21" i="1"/>
  <c r="Y47" i="1" s="1"/>
  <c r="AE21" i="1"/>
  <c r="AE47" i="1" s="1"/>
  <c r="AW21" i="1"/>
  <c r="AW47" i="1" s="1"/>
  <c r="BQ73" i="1"/>
  <c r="BQ97" i="1" s="1"/>
  <c r="S73" i="1"/>
  <c r="S97" i="1" s="1"/>
  <c r="L73" i="1"/>
  <c r="L97" i="1" s="1"/>
  <c r="AW23" i="1"/>
  <c r="AW49" i="1" s="1"/>
  <c r="AI73" i="1"/>
  <c r="AI97" i="1" s="1"/>
  <c r="CF23" i="1"/>
  <c r="CF49" i="1" s="1"/>
  <c r="AC21" i="1"/>
  <c r="AC47" i="1" s="1"/>
  <c r="AH73" i="1"/>
  <c r="AH97" i="1" s="1"/>
  <c r="BD23" i="1"/>
  <c r="BD49" i="1" s="1"/>
  <c r="BS73" i="1"/>
  <c r="BS97" i="1" s="1"/>
  <c r="CN73" i="1"/>
  <c r="CN97" i="1" s="1"/>
  <c r="W23" i="1"/>
  <c r="W49" i="1" s="1"/>
  <c r="AG73" i="1"/>
  <c r="AG97" i="1" s="1"/>
  <c r="F21" i="1"/>
  <c r="F47" i="1" s="1"/>
  <c r="CE73" i="1"/>
  <c r="CE97" i="1" s="1"/>
  <c r="BJ21" i="1"/>
  <c r="BJ47" i="1" s="1"/>
  <c r="F73" i="1"/>
  <c r="F97" i="1" s="1"/>
  <c r="BV73" i="1"/>
  <c r="BV97" i="1" s="1"/>
  <c r="I73" i="1"/>
  <c r="I97" i="1" s="1"/>
  <c r="AQ71" i="1"/>
  <c r="AQ95" i="1" s="1"/>
  <c r="U73" i="1"/>
  <c r="U97" i="1" s="1"/>
  <c r="CI23" i="1"/>
  <c r="CI49" i="1" s="1"/>
  <c r="AQ23" i="1"/>
  <c r="AQ49" i="1" s="1"/>
  <c r="Q71" i="1"/>
  <c r="Q95" i="1" s="1"/>
  <c r="BS21" i="1"/>
  <c r="BS47" i="1" s="1"/>
  <c r="AG21" i="1"/>
  <c r="AG47" i="1" s="1"/>
  <c r="AX73" i="1"/>
  <c r="AX97" i="1" s="1"/>
  <c r="CS23" i="1"/>
  <c r="CS49" i="1" s="1"/>
  <c r="BA71" i="1"/>
  <c r="BA95" i="1" s="1"/>
  <c r="AV21" i="1"/>
  <c r="AV47" i="1" s="1"/>
  <c r="CU71" i="1"/>
  <c r="CU95" i="1" s="1"/>
  <c r="CA71" i="1"/>
  <c r="CA95" i="1" s="1"/>
  <c r="CU73" i="1"/>
  <c r="CU97" i="1" s="1"/>
  <c r="R71" i="1"/>
  <c r="R95" i="1" s="1"/>
  <c r="AB73" i="1"/>
  <c r="AB97" i="1" s="1"/>
  <c r="BP23" i="1"/>
  <c r="BP49" i="1" s="1"/>
  <c r="BN71" i="1"/>
  <c r="BN95" i="1" s="1"/>
  <c r="BC71" i="1"/>
  <c r="BC95" i="1" s="1"/>
  <c r="K73" i="1"/>
  <c r="K97" i="1" s="1"/>
  <c r="C73" i="1"/>
  <c r="C97" i="1" s="1"/>
  <c r="BZ21" i="1"/>
  <c r="BZ47" i="1" s="1"/>
  <c r="CL23" i="1"/>
  <c r="CL49" i="1" s="1"/>
  <c r="BY71" i="1"/>
  <c r="BY95" i="1" s="1"/>
  <c r="BW73" i="1"/>
  <c r="BW97" i="1" s="1"/>
  <c r="X23" i="1"/>
  <c r="X49" i="1" s="1"/>
  <c r="BL71" i="1"/>
  <c r="BL95" i="1" s="1"/>
  <c r="BB71" i="1"/>
  <c r="BB95" i="1" s="1"/>
  <c r="AI71" i="1"/>
  <c r="AI95" i="1" s="1"/>
  <c r="P21" i="1"/>
  <c r="P47" i="1" s="1"/>
  <c r="CG71" i="1"/>
  <c r="CG95" i="1" s="1"/>
  <c r="BX23" i="1"/>
  <c r="BX49" i="1" s="1"/>
  <c r="BR21" i="1"/>
  <c r="BR47" i="1" s="1"/>
  <c r="BN21" i="1"/>
  <c r="BN47" i="1" s="1"/>
  <c r="AH21" i="1"/>
  <c r="AH47" i="1" s="1"/>
  <c r="AP73" i="1"/>
  <c r="AP97" i="1" s="1"/>
  <c r="BO21" i="1"/>
  <c r="BO47" i="1" s="1"/>
  <c r="Y73" i="1"/>
  <c r="Y97" i="1" s="1"/>
  <c r="BL73" i="1"/>
  <c r="BL97" i="1" s="1"/>
  <c r="I23" i="1"/>
  <c r="I49" i="1" s="1"/>
  <c r="V71" i="1"/>
  <c r="V95" i="1" s="1"/>
  <c r="AN73" i="1"/>
  <c r="AN97" i="1" s="1"/>
  <c r="BM71" i="1"/>
  <c r="BM95" i="1" s="1"/>
  <c r="BJ23" i="1"/>
  <c r="BJ49" i="1" s="1"/>
  <c r="CR71" i="1"/>
  <c r="CR95" i="1" s="1"/>
  <c r="AM73" i="1"/>
  <c r="AM97" i="1" s="1"/>
  <c r="CO21" i="1"/>
  <c r="CO47" i="1" s="1"/>
  <c r="AI23" i="1"/>
  <c r="AI49" i="1" s="1"/>
  <c r="BH71" i="1"/>
  <c r="BH95" i="1" s="1"/>
  <c r="S23" i="1"/>
  <c r="S49" i="1" s="1"/>
  <c r="CN21" i="1"/>
  <c r="CN47" i="1" s="1"/>
  <c r="AF21" i="1"/>
  <c r="AF47" i="1" s="1"/>
  <c r="T73" i="1"/>
  <c r="T97" i="1" s="1"/>
  <c r="AM23" i="1"/>
  <c r="AM49" i="1" s="1"/>
  <c r="CL71" i="1"/>
  <c r="CL95" i="1" s="1"/>
  <c r="Q73" i="1"/>
  <c r="Q97" i="1" s="1"/>
  <c r="AR71" i="1"/>
  <c r="AR95" i="1" s="1"/>
  <c r="BQ23" i="1"/>
  <c r="BQ49" i="1" s="1"/>
  <c r="BT23" i="1"/>
  <c r="BT49" i="1" s="1"/>
  <c r="CD73" i="1"/>
  <c r="CD97" i="1" s="1"/>
  <c r="BS71" i="1"/>
  <c r="BS95" i="1" s="1"/>
  <c r="CC73" i="1"/>
  <c r="CC97" i="1" s="1"/>
  <c r="BX71" i="1"/>
  <c r="BX95" i="1" s="1"/>
  <c r="M71" i="1"/>
  <c r="M95" i="1" s="1"/>
  <c r="O21" i="1"/>
  <c r="O47" i="1" s="1"/>
  <c r="CW23" i="1"/>
  <c r="CW49" i="1" s="1"/>
  <c r="AZ23" i="1"/>
  <c r="AZ49" i="1" s="1"/>
  <c r="AS73" i="1"/>
  <c r="AS97" i="1" s="1"/>
  <c r="AW73" i="1"/>
  <c r="AW97" i="1" s="1"/>
  <c r="Z71" i="1"/>
  <c r="Z95" i="1" s="1"/>
  <c r="CH73" i="1"/>
  <c r="CH97" i="1" s="1"/>
  <c r="M21" i="1"/>
  <c r="M47" i="1" s="1"/>
  <c r="D21" i="1"/>
  <c r="D47" i="1" s="1"/>
  <c r="AG23" i="1"/>
  <c r="AG49" i="1" s="1"/>
  <c r="BS23" i="1"/>
  <c r="BS49" i="1" s="1"/>
  <c r="O23" i="1"/>
  <c r="O49" i="1" s="1"/>
  <c r="CP21" i="1"/>
  <c r="CP47" i="1" s="1"/>
  <c r="AP71" i="1"/>
  <c r="AP95" i="1" s="1"/>
  <c r="BY21" i="1"/>
  <c r="BY47" i="1" s="1"/>
  <c r="BF73" i="1"/>
  <c r="BF97" i="1" s="1"/>
  <c r="CD71" i="1"/>
  <c r="CD95" i="1" s="1"/>
  <c r="AY71" i="1"/>
  <c r="AY95" i="1" s="1"/>
  <c r="CB23" i="1"/>
  <c r="CB49" i="1" s="1"/>
  <c r="P23" i="1"/>
  <c r="P49" i="1" s="1"/>
  <c r="BL21" i="1"/>
  <c r="BL47" i="1" s="1"/>
  <c r="BE21" i="1"/>
  <c r="BE47" i="1" s="1"/>
  <c r="AJ23" i="1"/>
  <c r="AJ49" i="1" s="1"/>
  <c r="G73" i="1"/>
  <c r="G97" i="1" s="1"/>
  <c r="AK71" i="1"/>
  <c r="AK95" i="1" s="1"/>
  <c r="CH23" i="1"/>
  <c r="CH49" i="1" s="1"/>
  <c r="BW21" i="1"/>
  <c r="BW47" i="1" s="1"/>
  <c r="AD71" i="1"/>
  <c r="AD95" i="1" s="1"/>
  <c r="AG71" i="1"/>
  <c r="AG95" i="1" s="1"/>
  <c r="AX21" i="1"/>
  <c r="AX47" i="1" s="1"/>
  <c r="CG73" i="1"/>
  <c r="CG97" i="1" s="1"/>
  <c r="AP23" i="1"/>
  <c r="AP49" i="1" s="1"/>
  <c r="CB71" i="1"/>
  <c r="CB95" i="1" s="1"/>
  <c r="BF71" i="1"/>
  <c r="BF95" i="1" s="1"/>
  <c r="CI71" i="1"/>
  <c r="CI95" i="1" s="1"/>
  <c r="BR71" i="1"/>
  <c r="BR95" i="1" s="1"/>
  <c r="BX21" i="1"/>
  <c r="BX47" i="1" s="1"/>
  <c r="N71" i="1"/>
  <c r="N95" i="1" s="1"/>
  <c r="BT21" i="1"/>
  <c r="BT47" i="1" s="1"/>
  <c r="BH21" i="1"/>
  <c r="BH47" i="1" s="1"/>
  <c r="Q21" i="1"/>
  <c r="Q47" i="1" s="1"/>
  <c r="CU21" i="1"/>
  <c r="CU47" i="1" s="1"/>
  <c r="CK71" i="1"/>
  <c r="CK95" i="1" s="1"/>
  <c r="AE73" i="1"/>
  <c r="AE97" i="1" s="1"/>
  <c r="AC71" i="1"/>
  <c r="AC95" i="1" s="1"/>
  <c r="CO71" i="1"/>
  <c r="CO95" i="1" s="1"/>
  <c r="H73" i="1"/>
  <c r="H97" i="1" s="1"/>
  <c r="AT73" i="1"/>
  <c r="AT97" i="1" s="1"/>
  <c r="AZ73" i="1"/>
  <c r="AZ97" i="1" s="1"/>
  <c r="BU73" i="1"/>
  <c r="BU97" i="1" s="1"/>
  <c r="BN73" i="1"/>
  <c r="BN97" i="1" s="1"/>
  <c r="AA71" i="1"/>
  <c r="AA95" i="1" s="1"/>
  <c r="AY21" i="1"/>
  <c r="AY47" i="1" s="1"/>
  <c r="BR73" i="1"/>
  <c r="BR97" i="1" s="1"/>
  <c r="L23" i="1"/>
  <c r="L49" i="1" s="1"/>
  <c r="Z23" i="1"/>
  <c r="Z49" i="1" s="1"/>
  <c r="BG71" i="1"/>
  <c r="BG95" i="1" s="1"/>
  <c r="CR23" i="1"/>
  <c r="CR49" i="1" s="1"/>
  <c r="U23" i="1"/>
  <c r="U49" i="1" s="1"/>
  <c r="C71" i="1"/>
  <c r="C95" i="1" s="1"/>
  <c r="CD23" i="1"/>
  <c r="CD49" i="1" s="1"/>
  <c r="G23" i="1"/>
  <c r="G49" i="1" s="1"/>
  <c r="AQ73" i="1"/>
  <c r="AQ97" i="1" s="1"/>
  <c r="N21" i="1"/>
  <c r="N47" i="1" s="1"/>
  <c r="BI73" i="1"/>
  <c r="BI97" i="1" s="1"/>
  <c r="BW71" i="1"/>
  <c r="BW95" i="1" s="1"/>
  <c r="AS21" i="1"/>
  <c r="AS47" i="1" s="1"/>
  <c r="AW71" i="1"/>
  <c r="AW95" i="1" s="1"/>
  <c r="CK21" i="1"/>
  <c r="CK47" i="1" s="1"/>
  <c r="T21" i="1"/>
  <c r="T47" i="1" s="1"/>
  <c r="CM71" i="1"/>
  <c r="CM95" i="1" s="1"/>
  <c r="H71" i="1"/>
  <c r="H95" i="1" s="1"/>
  <c r="CP71" i="1"/>
  <c r="CP95" i="1" s="1"/>
  <c r="AF73" i="1"/>
  <c r="AF97" i="1" s="1"/>
  <c r="AX23" i="1"/>
  <c r="AX49" i="1" s="1"/>
  <c r="Y23" i="1"/>
  <c r="Y49" i="1" s="1"/>
  <c r="BT73" i="1"/>
  <c r="BT97" i="1" s="1"/>
  <c r="CH71" i="1"/>
  <c r="CH95" i="1" s="1"/>
  <c r="CO23" i="1"/>
  <c r="CO49" i="1" s="1"/>
  <c r="AE23" i="1"/>
  <c r="AE49" i="1" s="1"/>
  <c r="CT73" i="1"/>
  <c r="CT97" i="1" s="1"/>
  <c r="AL71" i="1"/>
  <c r="AL95" i="1" s="1"/>
  <c r="CN23" i="1"/>
  <c r="CN49" i="1" s="1"/>
  <c r="BB23" i="1"/>
  <c r="BB49" i="1" s="1"/>
  <c r="BV71" i="1"/>
  <c r="BV95" i="1" s="1"/>
  <c r="E73" i="1"/>
  <c r="E97" i="1" s="1"/>
  <c r="AD73" i="1"/>
  <c r="AD97" i="1" s="1"/>
  <c r="BV21" i="1"/>
  <c r="BV47" i="1" s="1"/>
  <c r="CV71" i="1"/>
  <c r="CV95" i="1" s="1"/>
  <c r="V23" i="1"/>
  <c r="V49" i="1" s="1"/>
  <c r="X73" i="1"/>
  <c r="X97" i="1" s="1"/>
  <c r="T71" i="1"/>
  <c r="T95" i="1" s="1"/>
  <c r="AM21" i="1"/>
  <c r="AM47" i="1" s="1"/>
  <c r="AV71" i="1"/>
  <c r="AV95" i="1" s="1"/>
  <c r="AY23" i="1"/>
  <c r="AY49" i="1" s="1"/>
  <c r="BQ21" i="1"/>
  <c r="BQ47" i="1" s="1"/>
  <c r="E21" i="1"/>
  <c r="E47" i="1" s="1"/>
  <c r="AT71" i="1"/>
  <c r="AT95" i="1" s="1"/>
  <c r="AF23" i="1"/>
  <c r="AF49" i="1" s="1"/>
  <c r="AR73" i="1"/>
  <c r="AR97" i="1" s="1"/>
  <c r="BU23" i="1"/>
  <c r="BU49" i="1" s="1"/>
  <c r="CR73" i="1"/>
  <c r="CR97" i="1" s="1"/>
  <c r="BM73" i="1"/>
  <c r="BM97" i="1" s="1"/>
  <c r="AU23" i="1"/>
  <c r="AU49" i="1" s="1"/>
  <c r="AY73" i="1"/>
  <c r="AY97" i="1" s="1"/>
  <c r="AJ71" i="1"/>
  <c r="AJ95" i="1" s="1"/>
  <c r="H21" i="1"/>
  <c r="H47" i="1" s="1"/>
  <c r="CQ23" i="1"/>
  <c r="CQ49" i="1" s="1"/>
  <c r="BF21" i="1"/>
  <c r="BF47" i="1" s="1"/>
  <c r="CW73" i="1"/>
  <c r="CW97" i="1" s="1"/>
  <c r="AB23" i="1"/>
  <c r="AB49" i="1" s="1"/>
  <c r="CM73" i="1"/>
  <c r="CM97" i="1" s="1"/>
  <c r="Q23" i="1"/>
  <c r="Q49" i="1" s="1"/>
  <c r="BO23" i="1"/>
  <c r="BO49" i="1" s="1"/>
  <c r="CS73" i="1"/>
  <c r="CS97" i="1" s="1"/>
  <c r="P73" i="1"/>
  <c r="P97" i="1" s="1"/>
  <c r="CB73" i="1"/>
  <c r="CB97" i="1" s="1"/>
  <c r="BR23" i="1"/>
  <c r="BR49" i="1" s="1"/>
  <c r="R21" i="1"/>
  <c r="R47" i="1" s="1"/>
  <c r="AN21" i="1"/>
  <c r="AN47" i="1" s="1"/>
  <c r="AU21" i="1"/>
  <c r="AU47" i="1" s="1"/>
  <c r="I21" i="1"/>
  <c r="I47" i="1" s="1"/>
  <c r="AO71" i="1"/>
  <c r="AO95" i="1" s="1"/>
  <c r="BZ23" i="1"/>
  <c r="BZ49" i="1" s="1"/>
  <c r="BY23" i="1"/>
  <c r="BY49" i="1" s="1"/>
  <c r="D71" i="1"/>
  <c r="D95" i="1" s="1"/>
  <c r="AS23" i="1"/>
  <c r="AS49" i="1" s="1"/>
  <c r="BZ71" i="1"/>
  <c r="BZ95" i="1" s="1"/>
  <c r="AJ21" i="1"/>
  <c r="AJ47" i="1" s="1"/>
  <c r="BD71" i="1"/>
  <c r="BD95" i="1" s="1"/>
  <c r="AK73" i="1"/>
  <c r="AK97" i="1" s="1"/>
  <c r="E71" i="1"/>
  <c r="E95" i="1" s="1"/>
  <c r="CQ21" i="1"/>
  <c r="CQ47" i="1" s="1"/>
  <c r="O73" i="1"/>
  <c r="O97" i="1" s="1"/>
  <c r="BK73" i="1"/>
  <c r="BK97" i="1" s="1"/>
  <c r="CV73" i="1"/>
  <c r="CV97" i="1" s="1"/>
  <c r="F71" i="1"/>
  <c r="F95" i="1" s="1"/>
  <c r="BJ71" i="1"/>
  <c r="BJ95" i="1" s="1"/>
  <c r="AN23" i="1"/>
  <c r="AN49" i="1" s="1"/>
  <c r="BF23" i="1"/>
  <c r="BF49" i="1" s="1"/>
  <c r="S71" i="1"/>
  <c r="S95" i="1" s="1"/>
  <c r="CN71" i="1"/>
  <c r="CN95" i="1" s="1"/>
  <c r="CA21" i="1"/>
  <c r="CA47" i="1" s="1"/>
  <c r="CE21" i="1"/>
  <c r="CE47" i="1" s="1"/>
  <c r="AE71" i="1"/>
  <c r="AE95" i="1" s="1"/>
  <c r="AF71" i="1"/>
  <c r="AF95" i="1" s="1"/>
  <c r="BB73" i="1"/>
  <c r="BB97" i="1" s="1"/>
  <c r="I71" i="1"/>
  <c r="I95" i="1" s="1"/>
  <c r="BP71" i="1"/>
  <c r="BP95" i="1" s="1"/>
  <c r="BG73" i="1"/>
  <c r="BG97" i="1" s="1"/>
  <c r="R73" i="1"/>
  <c r="R97" i="1" s="1"/>
  <c r="K21" i="1"/>
  <c r="K47" i="1" s="1"/>
  <c r="K23" i="1"/>
  <c r="K49" i="1" s="1"/>
  <c r="BU71" i="1"/>
  <c r="BU95" i="1" s="1"/>
  <c r="AV73" i="1"/>
  <c r="AV97" i="1" s="1"/>
  <c r="N23" i="1"/>
  <c r="N49" i="1" s="1"/>
  <c r="CB21" i="1"/>
  <c r="CB47" i="1" s="1"/>
  <c r="CI21" i="1"/>
  <c r="CI47" i="1" s="1"/>
  <c r="CJ73" i="1"/>
  <c r="CJ97" i="1" s="1"/>
  <c r="CP73" i="1"/>
  <c r="CP97" i="1" s="1"/>
  <c r="AO73" i="1"/>
  <c r="AO97" i="1" s="1"/>
  <c r="BI23" i="1"/>
  <c r="BI49" i="1" s="1"/>
  <c r="CR21" i="1"/>
  <c r="CR47" i="1" s="1"/>
  <c r="BX73" i="1"/>
  <c r="BX97" i="1" s="1"/>
  <c r="V73" i="1"/>
  <c r="V97" i="1" s="1"/>
  <c r="AD21" i="1"/>
  <c r="AD47" i="1" s="1"/>
  <c r="BD21" i="1"/>
  <c r="BD47" i="1" s="1"/>
  <c r="C21" i="1"/>
  <c r="C47" i="1" s="1"/>
  <c r="E23" i="1"/>
  <c r="E49" i="1" s="1"/>
  <c r="AR23" i="1"/>
  <c r="AR49" i="1" s="1"/>
  <c r="CG21" i="1"/>
  <c r="CG47" i="1" s="1"/>
  <c r="BE71" i="1"/>
  <c r="BE95" i="1" s="1"/>
  <c r="BN23" i="1"/>
  <c r="BN49" i="1" s="1"/>
  <c r="BP21" i="1"/>
  <c r="BP47" i="1" s="1"/>
  <c r="O71" i="1"/>
  <c r="O95" i="1" s="1"/>
  <c r="G71" i="1"/>
  <c r="G95" i="1" s="1"/>
  <c r="BJ73" i="1"/>
  <c r="BJ97" i="1" s="1"/>
  <c r="BG21" i="1"/>
  <c r="BG47" i="1" s="1"/>
  <c r="BA21" i="1"/>
  <c r="BA47" i="1" s="1"/>
  <c r="BC23" i="1"/>
  <c r="BC49" i="1" s="1"/>
  <c r="BZ73" i="1"/>
  <c r="BZ97" i="1" s="1"/>
  <c r="CC21" i="1"/>
  <c r="CC47" i="1" s="1"/>
  <c r="J23" i="1"/>
  <c r="J49" i="1" s="1"/>
  <c r="C23" i="1"/>
  <c r="C49" i="1" s="1"/>
  <c r="BE23" i="1"/>
  <c r="BE49" i="1" s="1"/>
  <c r="P71" i="1"/>
  <c r="P95" i="1" s="1"/>
  <c r="AZ71" i="1"/>
  <c r="AZ95" i="1" s="1"/>
  <c r="K71" i="1"/>
  <c r="K95" i="1" s="1"/>
  <c r="CD21" i="1"/>
  <c r="CD47" i="1" s="1"/>
  <c r="R23" i="1"/>
  <c r="R49" i="1" s="1"/>
  <c r="CE71" i="1"/>
  <c r="CE95" i="1" s="1"/>
  <c r="CV21" i="1"/>
  <c r="CV47" i="1" s="1"/>
  <c r="M73" i="1"/>
  <c r="M97" i="1" s="1"/>
  <c r="G21" i="1"/>
  <c r="G47" i="1" s="1"/>
  <c r="X21" i="1"/>
  <c r="X47" i="1" s="1"/>
  <c r="BI21" i="1"/>
  <c r="BI47" i="1" s="1"/>
  <c r="V21" i="1"/>
  <c r="V47" i="1" s="1"/>
  <c r="AL21" i="1"/>
  <c r="AL47" i="1" s="1"/>
  <c r="AH71" i="1"/>
  <c r="AH95" i="1" s="1"/>
  <c r="BD73" i="1"/>
  <c r="BD97" i="1" s="1"/>
  <c r="BO71" i="1"/>
  <c r="BO95" i="1" s="1"/>
  <c r="W73" i="1"/>
  <c r="W97" i="1" s="1"/>
  <c r="BH73" i="1"/>
  <c r="BH97" i="1" s="1"/>
  <c r="BK21" i="1"/>
  <c r="BK47" i="1" s="1"/>
  <c r="BA73" i="1"/>
  <c r="BA97" i="1" s="1"/>
  <c r="BT71" i="1"/>
  <c r="BT95" i="1" s="1"/>
  <c r="U71" i="1"/>
  <c r="U95" i="1" s="1"/>
  <c r="AV23" i="1"/>
  <c r="AV49" i="1" s="1"/>
  <c r="CJ23" i="1"/>
  <c r="CJ49" i="1" s="1"/>
  <c r="CT23" i="1"/>
  <c r="CT49" i="1" s="1"/>
  <c r="CM23" i="1"/>
  <c r="CM49" i="1" s="1"/>
  <c r="CU23" i="1"/>
  <c r="CU49" i="1" s="1"/>
  <c r="BC73" i="1"/>
  <c r="BC97" i="1" s="1"/>
  <c r="Z21" i="1"/>
  <c r="Z47" i="1" s="1"/>
  <c r="CL73" i="1"/>
  <c r="CL97" i="1" s="1"/>
  <c r="BU21" i="1"/>
  <c r="BU47" i="1" s="1"/>
  <c r="AT21" i="1"/>
  <c r="AT47" i="1" s="1"/>
  <c r="L71" i="1"/>
  <c r="L95" i="1" s="1"/>
  <c r="D23" i="1"/>
  <c r="D49" i="1" s="1"/>
  <c r="CT21" i="1"/>
  <c r="CT47" i="1" s="1"/>
  <c r="CW71" i="1"/>
  <c r="CW95" i="1" s="1"/>
  <c r="CJ71" i="1"/>
  <c r="CJ95" i="1" s="1"/>
  <c r="AD23" i="1"/>
  <c r="AD49" i="1" s="1"/>
  <c r="CF71" i="1"/>
  <c r="CF95" i="1" s="1"/>
  <c r="BM23" i="1"/>
  <c r="BM49" i="1" s="1"/>
  <c r="CC23" i="1"/>
  <c r="CC49" i="1" s="1"/>
  <c r="Y71" i="1"/>
  <c r="Y95" i="1" s="1"/>
  <c r="X71" i="1"/>
  <c r="X95" i="1" s="1"/>
  <c r="CI73" i="1"/>
  <c r="CI97" i="1" s="1"/>
  <c r="CK23" i="1"/>
  <c r="CK49" i="1" s="1"/>
  <c r="AC23" i="1"/>
  <c r="AC49" i="1" s="1"/>
  <c r="CO73" i="1"/>
  <c r="CO97" i="1" s="1"/>
  <c r="CK73" i="1"/>
  <c r="CK97" i="1" s="1"/>
  <c r="BL23" i="1"/>
  <c r="BL49" i="1" s="1"/>
  <c r="J73" i="1"/>
  <c r="J97" i="1" s="1"/>
  <c r="Z73" i="1"/>
  <c r="Z97" i="1" s="1"/>
  <c r="CS71" i="1"/>
  <c r="CS95" i="1" s="1"/>
  <c r="N73" i="1"/>
  <c r="N97" i="1" s="1"/>
  <c r="H23" i="1"/>
  <c r="H49" i="1" s="1"/>
  <c r="F23" i="1"/>
  <c r="F49" i="1" s="1"/>
  <c r="L21" i="1"/>
  <c r="L47" i="1" s="1"/>
  <c r="S262" i="1"/>
  <c r="S264" i="1" s="1"/>
  <c r="AH255" i="1"/>
  <c r="AH257" i="1" s="1"/>
  <c r="CL263" i="1"/>
  <c r="CL265" i="1" s="1"/>
  <c r="Q262" i="1"/>
  <c r="Q264" i="1" s="1"/>
  <c r="BH246" i="1"/>
  <c r="BH248" i="1" s="1"/>
  <c r="D263" i="1"/>
  <c r="D265" i="1" s="1"/>
  <c r="AL270" i="1"/>
  <c r="AL272" i="1" s="1"/>
  <c r="CF255" i="1"/>
  <c r="CF257" i="1" s="1"/>
  <c r="J246" i="1"/>
  <c r="J248" i="1" s="1"/>
  <c r="BX247" i="1"/>
  <c r="BX249" i="1" s="1"/>
  <c r="BT271" i="1"/>
  <c r="BT273" i="1" s="1"/>
  <c r="AY255" i="1"/>
  <c r="AY257" i="1" s="1"/>
  <c r="AT247" i="1"/>
  <c r="AT249" i="1" s="1"/>
  <c r="L270" i="1"/>
  <c r="L272" i="1" s="1"/>
  <c r="CF246" i="1"/>
  <c r="CF248" i="1" s="1"/>
  <c r="BA255" i="1"/>
  <c r="BA257" i="1" s="1"/>
  <c r="AK271" i="1"/>
  <c r="AK273" i="1" s="1"/>
  <c r="CJ247" i="1"/>
  <c r="CJ249" i="1" s="1"/>
  <c r="BM246" i="1"/>
  <c r="BM248" i="1" s="1"/>
  <c r="BY176" i="1"/>
  <c r="BY185" i="1" s="1"/>
  <c r="CI262" i="1"/>
  <c r="CI264" i="1" s="1"/>
  <c r="BR246" i="1"/>
  <c r="BR248" i="1" s="1"/>
  <c r="CG247" i="1"/>
  <c r="CG249" i="1" s="1"/>
  <c r="AH246" i="1"/>
  <c r="AH248" i="1" s="1"/>
  <c r="BC262" i="1"/>
  <c r="BC264" i="1" s="1"/>
  <c r="Z263" i="1"/>
  <c r="Z265" i="1" s="1"/>
  <c r="H254" i="1"/>
  <c r="H256" i="1" s="1"/>
  <c r="AQ271" i="1"/>
  <c r="AQ273" i="1" s="1"/>
  <c r="O176" i="1"/>
  <c r="O185" i="1" s="1"/>
  <c r="AK247" i="1"/>
  <c r="AK249" i="1" s="1"/>
  <c r="CT176" i="1"/>
  <c r="CT185" i="1" s="1"/>
  <c r="D262" i="1"/>
  <c r="D264" i="1" s="1"/>
  <c r="CN270" i="1"/>
  <c r="CN272" i="1" s="1"/>
  <c r="O177" i="1"/>
  <c r="O186" i="1" s="1"/>
  <c r="Z176" i="1"/>
  <c r="Z185" i="1" s="1"/>
  <c r="BP262" i="1"/>
  <c r="BP264" i="1" s="1"/>
  <c r="X246" i="1"/>
  <c r="X248" i="1" s="1"/>
  <c r="CO254" i="1"/>
  <c r="CO256" i="1" s="1"/>
  <c r="AS263" i="1"/>
  <c r="AS265" i="1" s="1"/>
  <c r="CW247" i="1"/>
  <c r="CW249" i="1" s="1"/>
  <c r="AG263" i="1"/>
  <c r="AG265" i="1" s="1"/>
  <c r="CR177" i="1"/>
  <c r="CR186" i="1" s="1"/>
  <c r="BI246" i="1"/>
  <c r="BI248" i="1" s="1"/>
  <c r="CA255" i="1"/>
  <c r="CA257" i="1" s="1"/>
  <c r="AL176" i="1"/>
  <c r="AL185" i="1" s="1"/>
  <c r="F247" i="1"/>
  <c r="F249" i="1" s="1"/>
  <c r="F254" i="1"/>
  <c r="F256" i="1" s="1"/>
  <c r="CS263" i="1"/>
  <c r="CS265" i="1" s="1"/>
  <c r="BD255" i="1"/>
  <c r="BD257" i="1" s="1"/>
  <c r="CB246" i="1"/>
  <c r="CB248" i="1" s="1"/>
  <c r="Z262" i="1"/>
  <c r="Z264" i="1" s="1"/>
  <c r="AV255" i="1"/>
  <c r="AV257" i="1" s="1"/>
  <c r="BS255" i="1"/>
  <c r="BS257" i="1" s="1"/>
  <c r="BR177" i="1"/>
  <c r="BR186" i="1" s="1"/>
  <c r="AZ247" i="1"/>
  <c r="AZ249" i="1" s="1"/>
  <c r="CJ246" i="1"/>
  <c r="CJ248" i="1" s="1"/>
  <c r="BX262" i="1"/>
  <c r="BX264" i="1" s="1"/>
  <c r="U176" i="1"/>
  <c r="U185" i="1" s="1"/>
  <c r="BR255" i="1"/>
  <c r="BR257" i="1" s="1"/>
  <c r="I247" i="1"/>
  <c r="I249" i="1" s="1"/>
  <c r="BL263" i="1"/>
  <c r="BL265" i="1" s="1"/>
  <c r="BJ270" i="1"/>
  <c r="BJ272" i="1" s="1"/>
  <c r="CF247" i="1"/>
  <c r="CF249" i="1" s="1"/>
  <c r="AC263" i="1"/>
  <c r="AC265" i="1" s="1"/>
  <c r="AC246" i="1"/>
  <c r="AC248" i="1" s="1"/>
  <c r="AZ255" i="1"/>
  <c r="AZ257" i="1" s="1"/>
  <c r="L255" i="1"/>
  <c r="L257" i="1" s="1"/>
  <c r="BZ270" i="1"/>
  <c r="BZ272" i="1" s="1"/>
  <c r="CI271" i="1"/>
  <c r="CI273" i="1" s="1"/>
  <c r="BQ271" i="1"/>
  <c r="BQ273" i="1" s="1"/>
  <c r="CC254" i="1"/>
  <c r="CC256" i="1" s="1"/>
  <c r="BT254" i="1"/>
  <c r="BT256" i="1" s="1"/>
  <c r="AJ255" i="1"/>
  <c r="AJ257" i="1" s="1"/>
  <c r="BL176" i="1"/>
  <c r="BL185" i="1" s="1"/>
  <c r="J270" i="1"/>
  <c r="J272" i="1" s="1"/>
  <c r="CT270" i="1"/>
  <c r="CT272" i="1" s="1"/>
  <c r="M271" i="1"/>
  <c r="M273" i="1" s="1"/>
  <c r="AH177" i="1"/>
  <c r="AH186" i="1" s="1"/>
  <c r="W262" i="1"/>
  <c r="W264" i="1" s="1"/>
  <c r="P176" i="1"/>
  <c r="P185" i="1" s="1"/>
  <c r="BN176" i="1"/>
  <c r="BN185" i="1" s="1"/>
  <c r="BI262" i="1"/>
  <c r="BI264" i="1" s="1"/>
  <c r="BM255" i="1"/>
  <c r="BM257" i="1" s="1"/>
  <c r="AX263" i="1"/>
  <c r="AX265" i="1" s="1"/>
  <c r="BF271" i="1"/>
  <c r="BF273" i="1" s="1"/>
  <c r="CK271" i="1"/>
  <c r="CK273" i="1" s="1"/>
  <c r="BQ247" i="1"/>
  <c r="BQ249" i="1" s="1"/>
  <c r="CH271" i="1"/>
  <c r="CH273" i="1" s="1"/>
  <c r="G177" i="1"/>
  <c r="G186" i="1" s="1"/>
  <c r="BL246" i="1"/>
  <c r="BL248" i="1" s="1"/>
  <c r="CE270" i="1"/>
  <c r="CE272" i="1" s="1"/>
  <c r="AM271" i="1"/>
  <c r="AM273" i="1" s="1"/>
  <c r="CW263" i="1"/>
  <c r="CW265" i="1" s="1"/>
  <c r="BG262" i="1"/>
  <c r="BG264" i="1" s="1"/>
  <c r="AR246" i="1"/>
  <c r="AR248" i="1" s="1"/>
  <c r="J271" i="1"/>
  <c r="J273" i="1" s="1"/>
  <c r="BU176" i="1"/>
  <c r="BU185" i="1" s="1"/>
  <c r="CK247" i="1"/>
  <c r="CK249" i="1" s="1"/>
  <c r="AJ247" i="1"/>
  <c r="AJ249" i="1" s="1"/>
  <c r="Y176" i="1"/>
  <c r="Y185" i="1" s="1"/>
  <c r="AB262" i="1"/>
  <c r="AB264" i="1" s="1"/>
  <c r="AI177" i="1"/>
  <c r="AI186" i="1" s="1"/>
  <c r="BK254" i="1"/>
  <c r="BK256" i="1" s="1"/>
  <c r="N255" i="1"/>
  <c r="N257" i="1" s="1"/>
  <c r="AM176" i="1"/>
  <c r="AM185" i="1" s="1"/>
  <c r="AN255" i="1"/>
  <c r="AN257" i="1" s="1"/>
  <c r="E176" i="1"/>
  <c r="E185" i="1" s="1"/>
  <c r="H255" i="1"/>
  <c r="H257" i="1" s="1"/>
  <c r="CJ177" i="1"/>
  <c r="CJ186" i="1" s="1"/>
  <c r="CC263" i="1"/>
  <c r="CC265" i="1" s="1"/>
  <c r="CG246" i="1"/>
  <c r="CG248" i="1" s="1"/>
  <c r="AG255" i="1"/>
  <c r="AG257" i="1" s="1"/>
  <c r="AX176" i="1"/>
  <c r="AX185" i="1" s="1"/>
  <c r="AS270" i="1"/>
  <c r="AS272" i="1" s="1"/>
  <c r="CU177" i="1"/>
  <c r="CU186" i="1" s="1"/>
  <c r="CK262" i="1"/>
  <c r="CK264" i="1" s="1"/>
  <c r="CG254" i="1"/>
  <c r="CG256" i="1" s="1"/>
  <c r="AW255" i="1"/>
  <c r="AW257" i="1" s="1"/>
  <c r="CR247" i="1"/>
  <c r="CR249" i="1" s="1"/>
  <c r="X271" i="1"/>
  <c r="X273" i="1" s="1"/>
  <c r="AM254" i="1"/>
  <c r="AM256" i="1" s="1"/>
  <c r="AC177" i="1"/>
  <c r="AC186" i="1" s="1"/>
  <c r="G262" i="1"/>
  <c r="G264" i="1" s="1"/>
  <c r="AO262" i="1"/>
  <c r="AO264" i="1" s="1"/>
  <c r="CA271" i="1"/>
  <c r="CA273" i="1" s="1"/>
  <c r="AH271" i="1"/>
  <c r="AH273" i="1" s="1"/>
  <c r="AE247" i="1"/>
  <c r="AE249" i="1" s="1"/>
  <c r="AJ262" i="1"/>
  <c r="AJ264" i="1" s="1"/>
  <c r="AT270" i="1"/>
  <c r="AT272" i="1" s="1"/>
  <c r="AZ254" i="1"/>
  <c r="AZ256" i="1" s="1"/>
  <c r="CF263" i="1"/>
  <c r="CF265" i="1" s="1"/>
  <c r="M246" i="1"/>
  <c r="M248" i="1" s="1"/>
  <c r="F255" i="1"/>
  <c r="F257" i="1" s="1"/>
  <c r="CN263" i="1"/>
  <c r="CN265" i="1" s="1"/>
  <c r="BG263" i="1"/>
  <c r="BG265" i="1" s="1"/>
  <c r="R254" i="1"/>
  <c r="R256" i="1" s="1"/>
  <c r="CE255" i="1"/>
  <c r="CE257" i="1" s="1"/>
  <c r="CD254" i="1"/>
  <c r="CD256" i="1" s="1"/>
  <c r="BM270" i="1"/>
  <c r="BM272" i="1" s="1"/>
  <c r="CM270" i="1"/>
  <c r="CM272" i="1" s="1"/>
  <c r="AW254" i="1"/>
  <c r="AW256" i="1" s="1"/>
  <c r="AV247" i="1"/>
  <c r="AV249" i="1" s="1"/>
  <c r="V263" i="1"/>
  <c r="V265" i="1" s="1"/>
  <c r="BI177" i="1"/>
  <c r="BI186" i="1" s="1"/>
  <c r="BK262" i="1"/>
  <c r="BK264" i="1" s="1"/>
  <c r="BQ263" i="1"/>
  <c r="BQ265" i="1" s="1"/>
  <c r="AK177" i="1"/>
  <c r="AK186" i="1" s="1"/>
  <c r="CI246" i="1"/>
  <c r="CI248" i="1" s="1"/>
  <c r="AE176" i="1"/>
  <c r="AE185" i="1" s="1"/>
  <c r="T263" i="1"/>
  <c r="T265" i="1" s="1"/>
  <c r="AQ255" i="1"/>
  <c r="AQ257" i="1" s="1"/>
  <c r="CC262" i="1"/>
  <c r="CC264" i="1" s="1"/>
  <c r="AO271" i="1"/>
  <c r="AO273" i="1" s="1"/>
  <c r="CR270" i="1"/>
  <c r="CR272" i="1" s="1"/>
  <c r="W177" i="1"/>
  <c r="W186" i="1" s="1"/>
  <c r="D255" i="1"/>
  <c r="D257" i="1" s="1"/>
  <c r="AG176" i="1"/>
  <c r="AG185" i="1" s="1"/>
  <c r="CL255" i="1"/>
  <c r="CL257" i="1" s="1"/>
  <c r="BY263" i="1"/>
  <c r="BY265" i="1" s="1"/>
  <c r="CG177" i="1"/>
  <c r="CG186" i="1" s="1"/>
  <c r="CT255" i="1"/>
  <c r="CT257" i="1" s="1"/>
  <c r="AL247" i="1"/>
  <c r="AL249" i="1" s="1"/>
  <c r="N263" i="1"/>
  <c r="N265" i="1" s="1"/>
  <c r="BF247" i="1"/>
  <c r="BF249" i="1" s="1"/>
  <c r="BG271" i="1"/>
  <c r="BG273" i="1" s="1"/>
  <c r="AN263" i="1"/>
  <c r="AN265" i="1" s="1"/>
  <c r="BC246" i="1"/>
  <c r="BC248" i="1" s="1"/>
  <c r="P247" i="1"/>
  <c r="P249" i="1" s="1"/>
  <c r="V262" i="1"/>
  <c r="V264" i="1" s="1"/>
  <c r="AS262" i="1"/>
  <c r="AS264" i="1" s="1"/>
  <c r="AH262" i="1"/>
  <c r="AH264" i="1" s="1"/>
  <c r="AZ263" i="1"/>
  <c r="AZ265" i="1" s="1"/>
  <c r="AG271" i="1"/>
  <c r="AG273" i="1" s="1"/>
  <c r="O262" i="1"/>
  <c r="O264" i="1" s="1"/>
  <c r="AR271" i="1"/>
  <c r="AR273" i="1" s="1"/>
  <c r="Y254" i="1"/>
  <c r="Y256" i="1" s="1"/>
  <c r="Q177" i="1"/>
  <c r="Q186" i="1" s="1"/>
  <c r="CT177" i="1"/>
  <c r="CT186" i="1" s="1"/>
  <c r="X177" i="1"/>
  <c r="X186" i="1" s="1"/>
  <c r="W270" i="1"/>
  <c r="W272" i="1" s="1"/>
  <c r="CI176" i="1"/>
  <c r="CI185" i="1" s="1"/>
  <c r="I177" i="1"/>
  <c r="I186" i="1" s="1"/>
  <c r="CQ247" i="1"/>
  <c r="CQ249" i="1" s="1"/>
  <c r="AN262" i="1"/>
  <c r="AN264" i="1" s="1"/>
  <c r="V270" i="1"/>
  <c r="V272" i="1" s="1"/>
  <c r="BN271" i="1"/>
  <c r="BN273" i="1" s="1"/>
  <c r="P263" i="1"/>
  <c r="P265" i="1" s="1"/>
  <c r="AM263" i="1"/>
  <c r="AM265" i="1" s="1"/>
  <c r="BA262" i="1"/>
  <c r="BA264" i="1" s="1"/>
  <c r="BS263" i="1"/>
  <c r="BS265" i="1" s="1"/>
  <c r="AI262" i="1"/>
  <c r="AI264" i="1" s="1"/>
  <c r="CW254" i="1"/>
  <c r="CW256" i="1" s="1"/>
  <c r="CM263" i="1"/>
  <c r="CM265" i="1" s="1"/>
  <c r="AX254" i="1"/>
  <c r="AX256" i="1" s="1"/>
  <c r="E270" i="1"/>
  <c r="E272" i="1" s="1"/>
  <c r="X176" i="1"/>
  <c r="X185" i="1" s="1"/>
  <c r="CI177" i="1"/>
  <c r="CI186" i="1" s="1"/>
  <c r="BV177" i="1"/>
  <c r="BV186" i="1" s="1"/>
  <c r="CS254" i="1"/>
  <c r="CS256" i="1" s="1"/>
  <c r="BR247" i="1"/>
  <c r="BR249" i="1" s="1"/>
  <c r="AE177" i="1"/>
  <c r="AE186" i="1" s="1"/>
  <c r="AD271" i="1"/>
  <c r="AD273" i="1" s="1"/>
  <c r="S247" i="1"/>
  <c r="S249" i="1" s="1"/>
  <c r="CF270" i="1"/>
  <c r="CF272" i="1" s="1"/>
  <c r="G270" i="1"/>
  <c r="G272" i="1" s="1"/>
  <c r="CR254" i="1"/>
  <c r="CR256" i="1" s="1"/>
  <c r="AG247" i="1"/>
  <c r="AG249" i="1" s="1"/>
  <c r="AW246" i="1"/>
  <c r="AW248" i="1" s="1"/>
  <c r="BR176" i="1"/>
  <c r="BR185" i="1" s="1"/>
  <c r="BZ246" i="1"/>
  <c r="BZ248" i="1" s="1"/>
  <c r="W263" i="1"/>
  <c r="W265" i="1" s="1"/>
  <c r="BC176" i="1"/>
  <c r="BC185" i="1" s="1"/>
  <c r="CJ176" i="1"/>
  <c r="CJ185" i="1" s="1"/>
  <c r="BG176" i="1"/>
  <c r="BG185" i="1" s="1"/>
  <c r="CW255" i="1"/>
  <c r="CW257" i="1" s="1"/>
  <c r="AP176" i="1"/>
  <c r="AP185" i="1" s="1"/>
  <c r="J177" i="1"/>
  <c r="J186" i="1" s="1"/>
  <c r="AD263" i="1"/>
  <c r="AD265" i="1" s="1"/>
  <c r="CH263" i="1"/>
  <c r="CH265" i="1" s="1"/>
  <c r="BO271" i="1"/>
  <c r="BO273" i="1" s="1"/>
  <c r="P177" i="1"/>
  <c r="P186" i="1" s="1"/>
  <c r="BL271" i="1"/>
  <c r="BL273" i="1" s="1"/>
  <c r="CN247" i="1"/>
  <c r="CN249" i="1" s="1"/>
  <c r="CA246" i="1"/>
  <c r="CA248" i="1" s="1"/>
  <c r="AG262" i="1"/>
  <c r="AG264" i="1" s="1"/>
  <c r="BB254" i="1"/>
  <c r="BB256" i="1" s="1"/>
  <c r="AD270" i="1"/>
  <c r="AD272" i="1" s="1"/>
  <c r="BA271" i="1"/>
  <c r="BA273" i="1" s="1"/>
  <c r="CO176" i="1"/>
  <c r="CO185" i="1" s="1"/>
  <c r="AY247" i="1"/>
  <c r="AY249" i="1" s="1"/>
  <c r="CI263" i="1"/>
  <c r="CI265" i="1" s="1"/>
  <c r="CB247" i="1"/>
  <c r="CB249" i="1" s="1"/>
  <c r="BP177" i="1"/>
  <c r="BP186" i="1" s="1"/>
  <c r="CB176" i="1"/>
  <c r="CB185" i="1" s="1"/>
  <c r="BN255" i="1"/>
  <c r="BN257" i="1" s="1"/>
  <c r="BQ246" i="1"/>
  <c r="BQ248" i="1" s="1"/>
  <c r="CD270" i="1"/>
  <c r="CD272" i="1" s="1"/>
  <c r="CN271" i="1"/>
  <c r="CN273" i="1" s="1"/>
  <c r="AO247" i="1"/>
  <c r="AO249" i="1" s="1"/>
  <c r="BY255" i="1"/>
  <c r="BY257" i="1" s="1"/>
  <c r="CD247" i="1"/>
  <c r="CD249" i="1" s="1"/>
  <c r="CK263" i="1"/>
  <c r="CK265" i="1" s="1"/>
  <c r="BD270" i="1"/>
  <c r="BD272" i="1" s="1"/>
  <c r="Z247" i="1"/>
  <c r="Z249" i="1" s="1"/>
  <c r="D254" i="1"/>
  <c r="D256" i="1" s="1"/>
  <c r="S271" i="1"/>
  <c r="S273" i="1" s="1"/>
  <c r="CK254" i="1"/>
  <c r="CK256" i="1" s="1"/>
  <c r="AT255" i="1"/>
  <c r="AT257" i="1" s="1"/>
  <c r="AQ246" i="1"/>
  <c r="AQ248" i="1" s="1"/>
  <c r="K262" i="1"/>
  <c r="K264" i="1" s="1"/>
  <c r="AF255" i="1"/>
  <c r="AF257" i="1" s="1"/>
  <c r="L262" i="1"/>
  <c r="L264" i="1" s="1"/>
  <c r="CA263" i="1"/>
  <c r="CA265" i="1" s="1"/>
  <c r="D177" i="1"/>
  <c r="D186" i="1" s="1"/>
  <c r="BX246" i="1"/>
  <c r="BX248" i="1" s="1"/>
  <c r="T254" i="1"/>
  <c r="T256" i="1" s="1"/>
  <c r="AR254" i="1"/>
  <c r="AR256" i="1" s="1"/>
  <c r="AQ254" i="1"/>
  <c r="AQ256" i="1" s="1"/>
  <c r="AP263" i="1"/>
  <c r="AP265" i="1" s="1"/>
  <c r="CS271" i="1"/>
  <c r="CS273" i="1" s="1"/>
  <c r="CP176" i="1"/>
  <c r="CP185" i="1" s="1"/>
  <c r="AI255" i="1"/>
  <c r="AI257" i="1" s="1"/>
  <c r="CV255" i="1"/>
  <c r="CV257" i="1" s="1"/>
  <c r="BO263" i="1"/>
  <c r="BO265" i="1" s="1"/>
  <c r="BW247" i="1"/>
  <c r="BW249" i="1" s="1"/>
  <c r="BT177" i="1"/>
  <c r="BT186" i="1" s="1"/>
  <c r="AE270" i="1"/>
  <c r="AE272" i="1" s="1"/>
  <c r="CH177" i="1"/>
  <c r="CH186" i="1" s="1"/>
  <c r="CW246" i="1"/>
  <c r="CW248" i="1" s="1"/>
  <c r="J262" i="1"/>
  <c r="J264" i="1" s="1"/>
  <c r="AS254" i="1"/>
  <c r="AS256" i="1" s="1"/>
  <c r="BB263" i="1"/>
  <c r="BB265" i="1" s="1"/>
  <c r="BK255" i="1"/>
  <c r="BK257" i="1" s="1"/>
  <c r="BR262" i="1"/>
  <c r="BR264" i="1" s="1"/>
  <c r="BO255" i="1"/>
  <c r="BO257" i="1" s="1"/>
  <c r="CN255" i="1"/>
  <c r="CN257" i="1" s="1"/>
  <c r="Q270" i="1"/>
  <c r="Q272" i="1" s="1"/>
  <c r="AP255" i="1"/>
  <c r="AP257" i="1" s="1"/>
  <c r="AQ262" i="1"/>
  <c r="AQ264" i="1" s="1"/>
  <c r="CG270" i="1"/>
  <c r="CG272" i="1" s="1"/>
  <c r="BE255" i="1"/>
  <c r="BE257" i="1" s="1"/>
  <c r="BU270" i="1"/>
  <c r="BU272" i="1" s="1"/>
  <c r="CQ263" i="1"/>
  <c r="CQ265" i="1" s="1"/>
  <c r="T176" i="1"/>
  <c r="T185" i="1" s="1"/>
  <c r="U247" i="1"/>
  <c r="U249" i="1" s="1"/>
  <c r="W247" i="1"/>
  <c r="W249" i="1" s="1"/>
  <c r="CU255" i="1"/>
  <c r="CU257" i="1" s="1"/>
  <c r="AE255" i="1"/>
  <c r="AE257" i="1" s="1"/>
  <c r="AP177" i="1"/>
  <c r="AP186" i="1" s="1"/>
  <c r="E271" i="1"/>
  <c r="E273" i="1" s="1"/>
  <c r="P271" i="1"/>
  <c r="P273" i="1" s="1"/>
  <c r="AB270" i="1"/>
  <c r="AB272" i="1" s="1"/>
  <c r="AH247" i="1"/>
  <c r="AH249" i="1" s="1"/>
  <c r="BG247" i="1"/>
  <c r="BG249" i="1" s="1"/>
  <c r="AB255" i="1"/>
  <c r="AB257" i="1" s="1"/>
  <c r="BX263" i="1"/>
  <c r="BX265" i="1" s="1"/>
  <c r="AH263" i="1"/>
  <c r="AH265" i="1" s="1"/>
  <c r="L247" i="1"/>
  <c r="L249" i="1" s="1"/>
  <c r="CX176" i="1"/>
  <c r="CX185" i="1" s="1"/>
  <c r="Q263" i="1"/>
  <c r="Q265" i="1" s="1"/>
  <c r="AF270" i="1"/>
  <c r="AF272" i="1" s="1"/>
  <c r="N176" i="1"/>
  <c r="N185" i="1" s="1"/>
  <c r="AU254" i="1"/>
  <c r="AU256" i="1" s="1"/>
  <c r="W254" i="1"/>
  <c r="W256" i="1" s="1"/>
  <c r="BM254" i="1"/>
  <c r="BM256" i="1" s="1"/>
  <c r="CN254" i="1"/>
  <c r="CN256" i="1" s="1"/>
  <c r="BR271" i="1"/>
  <c r="BR273" i="1" s="1"/>
  <c r="AU263" i="1"/>
  <c r="AU265" i="1" s="1"/>
  <c r="AT246" i="1"/>
  <c r="AT248" i="1" s="1"/>
  <c r="AY176" i="1"/>
  <c r="AY185" i="1" s="1"/>
  <c r="BV254" i="1"/>
  <c r="BV256" i="1" s="1"/>
  <c r="CV270" i="1"/>
  <c r="CV272" i="1" s="1"/>
  <c r="CD271" i="1"/>
  <c r="CD273" i="1" s="1"/>
  <c r="W176" i="1"/>
  <c r="W185" i="1" s="1"/>
  <c r="AI247" i="1"/>
  <c r="AI249" i="1" s="1"/>
  <c r="BQ262" i="1"/>
  <c r="BQ264" i="1" s="1"/>
  <c r="T271" i="1"/>
  <c r="T273" i="1" s="1"/>
  <c r="BD263" i="1"/>
  <c r="BD265" i="1" s="1"/>
  <c r="Q176" i="1"/>
  <c r="Q185" i="1" s="1"/>
  <c r="BK176" i="1"/>
  <c r="BK185" i="1" s="1"/>
  <c r="CR246" i="1"/>
  <c r="CR248" i="1" s="1"/>
  <c r="AX177" i="1"/>
  <c r="AX186" i="1" s="1"/>
  <c r="AM247" i="1"/>
  <c r="AM249" i="1" s="1"/>
  <c r="CF262" i="1"/>
  <c r="CF264" i="1" s="1"/>
  <c r="BB246" i="1"/>
  <c r="BB248" i="1" s="1"/>
  <c r="CP263" i="1"/>
  <c r="CP265" i="1" s="1"/>
  <c r="CJ255" i="1"/>
  <c r="CJ257" i="1" s="1"/>
  <c r="G246" i="1"/>
  <c r="G248" i="1" s="1"/>
  <c r="AP247" i="1"/>
  <c r="AP249" i="1" s="1"/>
  <c r="V176" i="1"/>
  <c r="V185" i="1" s="1"/>
  <c r="CX247" i="1"/>
  <c r="CX249" i="1" s="1"/>
  <c r="AV271" i="1"/>
  <c r="AV273" i="1" s="1"/>
  <c r="BO254" i="1"/>
  <c r="BO256" i="1" s="1"/>
  <c r="AK270" i="1"/>
  <c r="AK272" i="1" s="1"/>
  <c r="N262" i="1"/>
  <c r="N264" i="1" s="1"/>
  <c r="BO177" i="1"/>
  <c r="BO186" i="1" s="1"/>
  <c r="CT246" i="1"/>
  <c r="CT248" i="1" s="1"/>
  <c r="AE246" i="1"/>
  <c r="AE248" i="1" s="1"/>
  <c r="H270" i="1"/>
  <c r="H272" i="1" s="1"/>
  <c r="U246" i="1"/>
  <c r="U248" i="1" s="1"/>
  <c r="CP255" i="1"/>
  <c r="CP257" i="1" s="1"/>
  <c r="N254" i="1"/>
  <c r="N256" i="1" s="1"/>
  <c r="BO246" i="1"/>
  <c r="BO248" i="1" s="1"/>
  <c r="AH176" i="1"/>
  <c r="AH185" i="1" s="1"/>
  <c r="BT255" i="1"/>
  <c r="BT257" i="1" s="1"/>
  <c r="K270" i="1"/>
  <c r="K272" i="1" s="1"/>
  <c r="BG255" i="1"/>
  <c r="BG257" i="1" s="1"/>
  <c r="BH271" i="1"/>
  <c r="BH273" i="1" s="1"/>
  <c r="CM271" i="1"/>
  <c r="CM273" i="1" s="1"/>
  <c r="BI176" i="1"/>
  <c r="BI185" i="1" s="1"/>
  <c r="K254" i="1"/>
  <c r="K256" i="1" s="1"/>
  <c r="M255" i="1"/>
  <c r="M257" i="1" s="1"/>
  <c r="AB246" i="1"/>
  <c r="AB248" i="1" s="1"/>
  <c r="BW246" i="1"/>
  <c r="BW248" i="1" s="1"/>
  <c r="AU247" i="1"/>
  <c r="AU249" i="1" s="1"/>
  <c r="CG176" i="1"/>
  <c r="CG185" i="1" s="1"/>
  <c r="BO247" i="1"/>
  <c r="BO249" i="1" s="1"/>
  <c r="CP262" i="1"/>
  <c r="CP264" i="1" s="1"/>
  <c r="AA247" i="1"/>
  <c r="AA249" i="1" s="1"/>
  <c r="F263" i="1"/>
  <c r="F265" i="1" s="1"/>
  <c r="CP271" i="1"/>
  <c r="CP273" i="1" s="1"/>
  <c r="AJ263" i="1"/>
  <c r="AJ265" i="1" s="1"/>
  <c r="AL177" i="1"/>
  <c r="AL186" i="1" s="1"/>
  <c r="L271" i="1"/>
  <c r="L273" i="1" s="1"/>
  <c r="CE254" i="1"/>
  <c r="CE256" i="1" s="1"/>
  <c r="AQ247" i="1"/>
  <c r="AQ249" i="1" s="1"/>
  <c r="AZ271" i="1"/>
  <c r="AZ273" i="1" s="1"/>
  <c r="BA270" i="1"/>
  <c r="BA272" i="1" s="1"/>
  <c r="AY177" i="1"/>
  <c r="AY186" i="1" s="1"/>
  <c r="BG177" i="1"/>
  <c r="BG186" i="1" s="1"/>
  <c r="CF176" i="1"/>
  <c r="CF185" i="1" s="1"/>
  <c r="CB255" i="1"/>
  <c r="CB257" i="1" s="1"/>
  <c r="CM177" i="1"/>
  <c r="CM186" i="1" s="1"/>
  <c r="BZ254" i="1"/>
  <c r="BZ256" i="1" s="1"/>
  <c r="J263" i="1"/>
  <c r="J265" i="1" s="1"/>
  <c r="CT263" i="1"/>
  <c r="CT265" i="1" s="1"/>
  <c r="BM176" i="1"/>
  <c r="BM185" i="1" s="1"/>
  <c r="AN271" i="1"/>
  <c r="AN273" i="1" s="1"/>
  <c r="AD262" i="1"/>
  <c r="AD264" i="1" s="1"/>
  <c r="CA176" i="1"/>
  <c r="CA185" i="1" s="1"/>
  <c r="BO176" i="1"/>
  <c r="BO185" i="1" s="1"/>
  <c r="BJ271" i="1"/>
  <c r="BJ273" i="1" s="1"/>
  <c r="BW271" i="1"/>
  <c r="BW273" i="1" s="1"/>
  <c r="AK246" i="1"/>
  <c r="AK248" i="1" s="1"/>
  <c r="AJ177" i="1"/>
  <c r="AJ186" i="1" s="1"/>
  <c r="CA254" i="1"/>
  <c r="CA256" i="1" s="1"/>
  <c r="O271" i="1"/>
  <c r="O273" i="1" s="1"/>
  <c r="CM254" i="1"/>
  <c r="CM256" i="1" s="1"/>
  <c r="Y263" i="1"/>
  <c r="Y265" i="1" s="1"/>
  <c r="CK246" i="1"/>
  <c r="CK248" i="1" s="1"/>
  <c r="BF177" i="1"/>
  <c r="BF186" i="1" s="1"/>
  <c r="CM262" i="1"/>
  <c r="CM264" i="1" s="1"/>
  <c r="S176" i="1"/>
  <c r="S185" i="1" s="1"/>
  <c r="AX246" i="1"/>
  <c r="AX248" i="1" s="1"/>
  <c r="K177" i="1"/>
  <c r="K186" i="1" s="1"/>
  <c r="CH262" i="1"/>
  <c r="CH264" i="1" s="1"/>
  <c r="CO263" i="1"/>
  <c r="CO265" i="1" s="1"/>
  <c r="CW177" i="1"/>
  <c r="CW186" i="1" s="1"/>
  <c r="AZ176" i="1"/>
  <c r="AZ185" i="1" s="1"/>
  <c r="BQ255" i="1"/>
  <c r="BQ257" i="1" s="1"/>
  <c r="E177" i="1"/>
  <c r="E186" i="1" s="1"/>
  <c r="CW270" i="1"/>
  <c r="CW272" i="1" s="1"/>
  <c r="AR177" i="1"/>
  <c r="AR186" i="1" s="1"/>
  <c r="AU177" i="1"/>
  <c r="AU186" i="1" s="1"/>
  <c r="V271" i="1"/>
  <c r="V273" i="1" s="1"/>
  <c r="AS177" i="1"/>
  <c r="AS186" i="1" s="1"/>
  <c r="BG270" i="1"/>
  <c r="BG272" i="1" s="1"/>
  <c r="BW263" i="1"/>
  <c r="BW265" i="1" s="1"/>
  <c r="BE271" i="1"/>
  <c r="BE273" i="1" s="1"/>
  <c r="AP262" i="1"/>
  <c r="AP264" i="1" s="1"/>
  <c r="BM263" i="1"/>
  <c r="BM265" i="1" s="1"/>
  <c r="BS262" i="1"/>
  <c r="BS264" i="1" s="1"/>
  <c r="D270" i="1"/>
  <c r="D272" i="1" s="1"/>
  <c r="CA177" i="1"/>
  <c r="CA186" i="1" s="1"/>
  <c r="BP176" i="1"/>
  <c r="BP185" i="1" s="1"/>
  <c r="BV176" i="1"/>
  <c r="BV185" i="1" s="1"/>
  <c r="AO263" i="1"/>
  <c r="AO265" i="1" s="1"/>
  <c r="CR262" i="1"/>
  <c r="CR264" i="1" s="1"/>
  <c r="CE263" i="1"/>
  <c r="CE265" i="1" s="1"/>
  <c r="AI176" i="1"/>
  <c r="AI185" i="1" s="1"/>
  <c r="BI263" i="1"/>
  <c r="BI265" i="1" s="1"/>
  <c r="BD247" i="1"/>
  <c r="BD249" i="1" s="1"/>
  <c r="M270" i="1"/>
  <c r="M272" i="1" s="1"/>
  <c r="BA176" i="1"/>
  <c r="BA185" i="1" s="1"/>
  <c r="AO270" i="1"/>
  <c r="AO272" i="1" s="1"/>
  <c r="CH254" i="1"/>
  <c r="CH256" i="1" s="1"/>
  <c r="Y247" i="1"/>
  <c r="Y249" i="1" s="1"/>
  <c r="BT263" i="1"/>
  <c r="BT265" i="1" s="1"/>
  <c r="BF262" i="1"/>
  <c r="BF264" i="1" s="1"/>
  <c r="BF246" i="1"/>
  <c r="BF248" i="1" s="1"/>
  <c r="N271" i="1"/>
  <c r="N273" i="1" s="1"/>
  <c r="G263" i="1"/>
  <c r="G265" i="1" s="1"/>
  <c r="BV262" i="1"/>
  <c r="BV264" i="1" s="1"/>
  <c r="CG262" i="1"/>
  <c r="CG264" i="1" s="1"/>
  <c r="AW247" i="1"/>
  <c r="AW249" i="1" s="1"/>
  <c r="AD254" i="1"/>
  <c r="AD256" i="1" s="1"/>
  <c r="AL271" i="1"/>
  <c r="AL273" i="1" s="1"/>
  <c r="AE254" i="1"/>
  <c r="AE256" i="1" s="1"/>
  <c r="P246" i="1"/>
  <c r="P248" i="1" s="1"/>
  <c r="N270" i="1"/>
  <c r="N272" i="1" s="1"/>
  <c r="AN247" i="1"/>
  <c r="AN249" i="1" s="1"/>
  <c r="CC177" i="1"/>
  <c r="CC186" i="1" s="1"/>
  <c r="CI247" i="1"/>
  <c r="CI249" i="1" s="1"/>
  <c r="AG254" i="1"/>
  <c r="AG256" i="1" s="1"/>
  <c r="BF270" i="1"/>
  <c r="BF272" i="1" s="1"/>
  <c r="CV176" i="1"/>
  <c r="CV185" i="1" s="1"/>
  <c r="G176" i="1"/>
  <c r="G185" i="1" s="1"/>
  <c r="BN177" i="1"/>
  <c r="BN186" i="1" s="1"/>
  <c r="AX247" i="1"/>
  <c r="AX249" i="1" s="1"/>
  <c r="CL271" i="1"/>
  <c r="CL273" i="1" s="1"/>
  <c r="CM176" i="1"/>
  <c r="CM185" i="1" s="1"/>
  <c r="BP246" i="1"/>
  <c r="BP248" i="1" s="1"/>
  <c r="BZ176" i="1"/>
  <c r="BZ185" i="1" s="1"/>
  <c r="AZ246" i="1"/>
  <c r="AZ248" i="1" s="1"/>
  <c r="AN270" i="1"/>
  <c r="AN272" i="1" s="1"/>
  <c r="AP271" i="1"/>
  <c r="AP273" i="1" s="1"/>
  <c r="AF254" i="1"/>
  <c r="AF256" i="1" s="1"/>
  <c r="BF255" i="1"/>
  <c r="BF257" i="1" s="1"/>
  <c r="BB271" i="1"/>
  <c r="BB273" i="1" s="1"/>
  <c r="BE177" i="1"/>
  <c r="BE186" i="1" s="1"/>
  <c r="AG246" i="1"/>
  <c r="AG248" i="1" s="1"/>
  <c r="CF177" i="1"/>
  <c r="CF186" i="1" s="1"/>
  <c r="AV263" i="1"/>
  <c r="AV265" i="1" s="1"/>
  <c r="N246" i="1"/>
  <c r="N248" i="1" s="1"/>
  <c r="CN262" i="1"/>
  <c r="CN264" i="1" s="1"/>
  <c r="CD177" i="1"/>
  <c r="CD186" i="1" s="1"/>
  <c r="AG177" i="1"/>
  <c r="AG186" i="1" s="1"/>
  <c r="BS271" i="1"/>
  <c r="BS273" i="1" s="1"/>
  <c r="AY254" i="1"/>
  <c r="AY256" i="1" s="1"/>
  <c r="CI270" i="1"/>
  <c r="CI272" i="1" s="1"/>
  <c r="CE177" i="1"/>
  <c r="CE186" i="1" s="1"/>
  <c r="AI263" i="1"/>
  <c r="AI265" i="1" s="1"/>
  <c r="AN177" i="1"/>
  <c r="AN186" i="1" s="1"/>
  <c r="BE254" i="1"/>
  <c r="BE256" i="1" s="1"/>
  <c r="BL270" i="1"/>
  <c r="BL272" i="1" s="1"/>
  <c r="BZ177" i="1"/>
  <c r="BZ186" i="1" s="1"/>
  <c r="AY271" i="1"/>
  <c r="AY273" i="1" s="1"/>
  <c r="AE271" i="1"/>
  <c r="AE273" i="1" s="1"/>
  <c r="AZ270" i="1"/>
  <c r="AZ272" i="1" s="1"/>
  <c r="CQ176" i="1"/>
  <c r="CQ185" i="1" s="1"/>
  <c r="BJ247" i="1"/>
  <c r="BJ249" i="1" s="1"/>
  <c r="Y255" i="1"/>
  <c r="Y257" i="1" s="1"/>
  <c r="CE247" i="1"/>
  <c r="CE249" i="1" s="1"/>
  <c r="CM255" i="1"/>
  <c r="CM257" i="1" s="1"/>
  <c r="K263" i="1"/>
  <c r="K265" i="1" s="1"/>
  <c r="AL262" i="1"/>
  <c r="AL264" i="1" s="1"/>
  <c r="BJ246" i="1"/>
  <c r="BJ248" i="1" s="1"/>
  <c r="CV246" i="1"/>
  <c r="CV248" i="1" s="1"/>
  <c r="BC270" i="1"/>
  <c r="BC272" i="1" s="1"/>
  <c r="AL246" i="1"/>
  <c r="AL248" i="1" s="1"/>
  <c r="CI255" i="1"/>
  <c r="CI257" i="1" s="1"/>
  <c r="R255" i="1"/>
  <c r="R257" i="1" s="1"/>
  <c r="BX270" i="1"/>
  <c r="BX272" i="1" s="1"/>
  <c r="BV246" i="1"/>
  <c r="BV248" i="1" s="1"/>
  <c r="E263" i="1"/>
  <c r="E265" i="1" s="1"/>
  <c r="BR254" i="1"/>
  <c r="BR256" i="1" s="1"/>
  <c r="AG270" i="1"/>
  <c r="AG272" i="1" s="1"/>
  <c r="H262" i="1"/>
  <c r="H264" i="1" s="1"/>
  <c r="AJ271" i="1"/>
  <c r="AJ273" i="1" s="1"/>
  <c r="CX177" i="1"/>
  <c r="CX186" i="1" s="1"/>
  <c r="BH176" i="1"/>
  <c r="BH185" i="1" s="1"/>
  <c r="Y246" i="1"/>
  <c r="Y248" i="1" s="1"/>
  <c r="CW271" i="1"/>
  <c r="CW273" i="1" s="1"/>
  <c r="X247" i="1"/>
  <c r="X249" i="1" s="1"/>
  <c r="BH254" i="1"/>
  <c r="BH256" i="1" s="1"/>
  <c r="Z254" i="1"/>
  <c r="Z256" i="1" s="1"/>
  <c r="AY262" i="1"/>
  <c r="AY264" i="1" s="1"/>
  <c r="CN177" i="1"/>
  <c r="CN186" i="1" s="1"/>
  <c r="BD262" i="1"/>
  <c r="BD264" i="1" s="1"/>
  <c r="AD247" i="1"/>
  <c r="AD249" i="1" s="1"/>
  <c r="BL247" i="1"/>
  <c r="BL249" i="1" s="1"/>
  <c r="BD177" i="1"/>
  <c r="BD186" i="1" s="1"/>
  <c r="Y271" i="1"/>
  <c r="Y273" i="1" s="1"/>
  <c r="CO271" i="1"/>
  <c r="CO273" i="1" s="1"/>
  <c r="BI254" i="1"/>
  <c r="BI256" i="1" s="1"/>
  <c r="M254" i="1"/>
  <c r="M256" i="1" s="1"/>
  <c r="CK177" i="1"/>
  <c r="CK186" i="1" s="1"/>
  <c r="N247" i="1"/>
  <c r="N249" i="1" s="1"/>
  <c r="K247" i="1"/>
  <c r="K249" i="1" s="1"/>
  <c r="AT262" i="1"/>
  <c r="AT264" i="1" s="1"/>
  <c r="BI270" i="1"/>
  <c r="BI272" i="1" s="1"/>
  <c r="CH176" i="1"/>
  <c r="CH185" i="1" s="1"/>
  <c r="CS262" i="1"/>
  <c r="CS264" i="1" s="1"/>
  <c r="CE271" i="1"/>
  <c r="CE273" i="1" s="1"/>
  <c r="AC247" i="1"/>
  <c r="AC249" i="1" s="1"/>
  <c r="CJ271" i="1"/>
  <c r="CJ273" i="1" s="1"/>
  <c r="R177" i="1"/>
  <c r="R186" i="1" s="1"/>
  <c r="AX262" i="1"/>
  <c r="AX264" i="1" s="1"/>
  <c r="BC177" i="1"/>
  <c r="BC186" i="1" s="1"/>
  <c r="BB270" i="1"/>
  <c r="BB272" i="1" s="1"/>
  <c r="BU263" i="1"/>
  <c r="BU265" i="1" s="1"/>
  <c r="CX271" i="1"/>
  <c r="CX273" i="1" s="1"/>
  <c r="BN254" i="1"/>
  <c r="BN256" i="1" s="1"/>
  <c r="J255" i="1"/>
  <c r="J257" i="1" s="1"/>
  <c r="CN246" i="1"/>
  <c r="CN248" i="1" s="1"/>
  <c r="I255" i="1"/>
  <c r="I257" i="1" s="1"/>
  <c r="AB176" i="1"/>
  <c r="AB185" i="1" s="1"/>
  <c r="BQ176" i="1"/>
  <c r="BQ185" i="1" s="1"/>
  <c r="I271" i="1"/>
  <c r="I273" i="1" s="1"/>
  <c r="BW254" i="1"/>
  <c r="BW256" i="1" s="1"/>
  <c r="CP247" i="1"/>
  <c r="CP249" i="1" s="1"/>
  <c r="S255" i="1"/>
  <c r="S257" i="1" s="1"/>
  <c r="AV177" i="1"/>
  <c r="AV186" i="1" s="1"/>
  <c r="AF176" i="1"/>
  <c r="AF185" i="1" s="1"/>
  <c r="CC271" i="1"/>
  <c r="CC273" i="1" s="1"/>
  <c r="BK263" i="1"/>
  <c r="BK265" i="1" s="1"/>
  <c r="BT246" i="1"/>
  <c r="BT248" i="1" s="1"/>
  <c r="BH262" i="1"/>
  <c r="BH264" i="1" s="1"/>
  <c r="BY177" i="1"/>
  <c r="BY186" i="1" s="1"/>
  <c r="BZ263" i="1"/>
  <c r="BZ265" i="1" s="1"/>
  <c r="E246" i="1"/>
  <c r="E248" i="1" s="1"/>
  <c r="W255" i="1"/>
  <c r="W257" i="1" s="1"/>
  <c r="CR263" i="1"/>
  <c r="CR265" i="1" s="1"/>
  <c r="R263" i="1"/>
  <c r="R265" i="1" s="1"/>
  <c r="BL255" i="1"/>
  <c r="BL257" i="1" s="1"/>
  <c r="BK246" i="1"/>
  <c r="BK248" i="1" s="1"/>
  <c r="AB247" i="1"/>
  <c r="AB249" i="1" s="1"/>
  <c r="BX254" i="1"/>
  <c r="BX256" i="1" s="1"/>
  <c r="AP254" i="1"/>
  <c r="AP256" i="1" s="1"/>
  <c r="CH247" i="1"/>
  <c r="CH249" i="1" s="1"/>
  <c r="M177" i="1"/>
  <c r="M186" i="1" s="1"/>
  <c r="P262" i="1"/>
  <c r="P264" i="1" s="1"/>
  <c r="AB263" i="1"/>
  <c r="AB265" i="1" s="1"/>
  <c r="BK270" i="1"/>
  <c r="BK272" i="1" s="1"/>
  <c r="BN263" i="1"/>
  <c r="BN265" i="1" s="1"/>
  <c r="T255" i="1"/>
  <c r="T257" i="1" s="1"/>
  <c r="H271" i="1"/>
  <c r="H273" i="1" s="1"/>
  <c r="I270" i="1"/>
  <c r="I272" i="1" s="1"/>
  <c r="BS246" i="1"/>
  <c r="BS248" i="1" s="1"/>
  <c r="R176" i="1"/>
  <c r="R185" i="1" s="1"/>
  <c r="CD262" i="1"/>
  <c r="CD264" i="1" s="1"/>
  <c r="BY254" i="1"/>
  <c r="BY256" i="1" s="1"/>
  <c r="AJ176" i="1"/>
  <c r="AJ185" i="1" s="1"/>
  <c r="AO254" i="1"/>
  <c r="AO256" i="1" s="1"/>
  <c r="N177" i="1"/>
  <c r="N186" i="1" s="1"/>
  <c r="BV263" i="1"/>
  <c r="BV265" i="1" s="1"/>
  <c r="CB177" i="1"/>
  <c r="CB186" i="1" s="1"/>
  <c r="BS176" i="1"/>
  <c r="BS185" i="1" s="1"/>
  <c r="AX255" i="1"/>
  <c r="AX257" i="1" s="1"/>
  <c r="AU270" i="1"/>
  <c r="AU272" i="1" s="1"/>
  <c r="Z271" i="1"/>
  <c r="Z273" i="1" s="1"/>
  <c r="BF263" i="1"/>
  <c r="BF265" i="1" s="1"/>
  <c r="AL254" i="1"/>
  <c r="AL256" i="1" s="1"/>
  <c r="AF271" i="1"/>
  <c r="AF273" i="1" s="1"/>
  <c r="T246" i="1"/>
  <c r="T248" i="1" s="1"/>
  <c r="AT271" i="1"/>
  <c r="AT273" i="1" s="1"/>
  <c r="AD177" i="1"/>
  <c r="AD186" i="1" s="1"/>
  <c r="CO262" i="1"/>
  <c r="CO264" i="1" s="1"/>
  <c r="AA263" i="1"/>
  <c r="AA265" i="1" s="1"/>
  <c r="CB270" i="1"/>
  <c r="CB272" i="1" s="1"/>
  <c r="BE263" i="1"/>
  <c r="BE265" i="1" s="1"/>
  <c r="AV246" i="1"/>
  <c r="AV248" i="1" s="1"/>
  <c r="AQ176" i="1"/>
  <c r="AQ185" i="1" s="1"/>
  <c r="BJ263" i="1"/>
  <c r="BJ265" i="1" s="1"/>
  <c r="CK255" i="1"/>
  <c r="CK257" i="1" s="1"/>
  <c r="CS177" i="1"/>
  <c r="CS186" i="1" s="1"/>
  <c r="S263" i="1"/>
  <c r="S265" i="1" s="1"/>
  <c r="CU247" i="1"/>
  <c r="CU249" i="1" s="1"/>
  <c r="CX262" i="1"/>
  <c r="CX264" i="1" s="1"/>
  <c r="BR270" i="1"/>
  <c r="BR272" i="1" s="1"/>
  <c r="CP246" i="1"/>
  <c r="CP248" i="1" s="1"/>
  <c r="AC271" i="1"/>
  <c r="AC273" i="1" s="1"/>
  <c r="M263" i="1"/>
  <c r="M265" i="1" s="1"/>
  <c r="AD255" i="1"/>
  <c r="AD257" i="1" s="1"/>
  <c r="CV263" i="1"/>
  <c r="CV265" i="1" s="1"/>
  <c r="W246" i="1"/>
  <c r="W248" i="1" s="1"/>
  <c r="V177" i="1"/>
  <c r="V186" i="1" s="1"/>
  <c r="BU177" i="1"/>
  <c r="BU186" i="1" s="1"/>
  <c r="AC255" i="1"/>
  <c r="AC257" i="1" s="1"/>
  <c r="AP270" i="1"/>
  <c r="AP272" i="1" s="1"/>
  <c r="G255" i="1"/>
  <c r="G257" i="1" s="1"/>
  <c r="O246" i="1"/>
  <c r="O248" i="1" s="1"/>
  <c r="CA270" i="1"/>
  <c r="CA272" i="1" s="1"/>
  <c r="AY263" i="1"/>
  <c r="AY265" i="1" s="1"/>
  <c r="CL246" i="1"/>
  <c r="CL248" i="1" s="1"/>
  <c r="AS246" i="1"/>
  <c r="AS248" i="1" s="1"/>
  <c r="I254" i="1"/>
  <c r="I256" i="1" s="1"/>
  <c r="AN254" i="1"/>
  <c r="AN256" i="1" s="1"/>
  <c r="BW176" i="1"/>
  <c r="BW185" i="1" s="1"/>
  <c r="BR263" i="1"/>
  <c r="BR265" i="1" s="1"/>
  <c r="BP247" i="1"/>
  <c r="BP249" i="1" s="1"/>
  <c r="BK247" i="1"/>
  <c r="BK249" i="1" s="1"/>
  <c r="F271" i="1"/>
  <c r="F273" i="1" s="1"/>
  <c r="AY246" i="1"/>
  <c r="AY248" i="1" s="1"/>
  <c r="U263" i="1"/>
  <c r="U265" i="1" s="1"/>
  <c r="BP271" i="1"/>
  <c r="BP273" i="1" s="1"/>
  <c r="AA271" i="1"/>
  <c r="AA273" i="1" s="1"/>
  <c r="BW177" i="1"/>
  <c r="BW186" i="1" s="1"/>
  <c r="R247" i="1"/>
  <c r="R249" i="1" s="1"/>
  <c r="L176" i="1"/>
  <c r="L185" i="1" s="1"/>
  <c r="Q246" i="1"/>
  <c r="Q248" i="1" s="1"/>
  <c r="AU246" i="1"/>
  <c r="AU248" i="1" s="1"/>
  <c r="U271" i="1"/>
  <c r="U273" i="1" s="1"/>
  <c r="F246" i="1"/>
  <c r="F248" i="1" s="1"/>
  <c r="AF247" i="1"/>
  <c r="AF249" i="1" s="1"/>
  <c r="Z270" i="1"/>
  <c r="Z272" i="1" s="1"/>
  <c r="CL262" i="1"/>
  <c r="CL264" i="1" s="1"/>
  <c r="BT262" i="1"/>
  <c r="BT264" i="1" s="1"/>
  <c r="M262" i="1"/>
  <c r="M264" i="1" s="1"/>
  <c r="BA254" i="1"/>
  <c r="BA256" i="1" s="1"/>
  <c r="AK262" i="1"/>
  <c r="AK264" i="1" s="1"/>
  <c r="CD263" i="1"/>
  <c r="CD265" i="1" s="1"/>
  <c r="CG255" i="1"/>
  <c r="CG257" i="1" s="1"/>
  <c r="CV254" i="1"/>
  <c r="CV256" i="1" s="1"/>
  <c r="AR176" i="1"/>
  <c r="AR185" i="1" s="1"/>
  <c r="CQ177" i="1"/>
  <c r="CQ186" i="1" s="1"/>
  <c r="BX176" i="1"/>
  <c r="BX185" i="1" s="1"/>
  <c r="AU262" i="1"/>
  <c r="AU264" i="1" s="1"/>
  <c r="CU262" i="1"/>
  <c r="CU264" i="1" s="1"/>
  <c r="AO255" i="1"/>
  <c r="AO257" i="1" s="1"/>
  <c r="CQ262" i="1"/>
  <c r="CQ264" i="1" s="1"/>
  <c r="AC254" i="1"/>
  <c r="AC256" i="1" s="1"/>
  <c r="BW270" i="1"/>
  <c r="BW272" i="1" s="1"/>
  <c r="AI254" i="1"/>
  <c r="AI256" i="1" s="1"/>
  <c r="AB271" i="1"/>
  <c r="AB273" i="1" s="1"/>
  <c r="BC247" i="1"/>
  <c r="BC249" i="1" s="1"/>
  <c r="BH247" i="1"/>
  <c r="BH249" i="1" s="1"/>
  <c r="CJ254" i="1"/>
  <c r="CJ256" i="1" s="1"/>
  <c r="AH270" i="1"/>
  <c r="AH272" i="1" s="1"/>
  <c r="CC176" i="1"/>
  <c r="CC185" i="1" s="1"/>
  <c r="AW177" i="1"/>
  <c r="AW186" i="1" s="1"/>
  <c r="CX255" i="1"/>
  <c r="CX257" i="1" s="1"/>
  <c r="AW271" i="1"/>
  <c r="AW273" i="1" s="1"/>
  <c r="BU271" i="1"/>
  <c r="BU273" i="1" s="1"/>
  <c r="BM262" i="1"/>
  <c r="BM264" i="1" s="1"/>
  <c r="BY271" i="1"/>
  <c r="BY273" i="1" s="1"/>
  <c r="T270" i="1"/>
  <c r="T272" i="1" s="1"/>
  <c r="CG263" i="1"/>
  <c r="CG265" i="1" s="1"/>
  <c r="CH255" i="1"/>
  <c r="CH257" i="1" s="1"/>
  <c r="E255" i="1"/>
  <c r="E257" i="1" s="1"/>
  <c r="Z255" i="1"/>
  <c r="Z257" i="1" s="1"/>
  <c r="CV247" i="1"/>
  <c r="CV249" i="1" s="1"/>
  <c r="U177" i="1"/>
  <c r="U186" i="1" s="1"/>
  <c r="CO177" i="1"/>
  <c r="CO186" i="1" s="1"/>
  <c r="BE176" i="1"/>
  <c r="BE185" i="1" s="1"/>
  <c r="BG254" i="1"/>
  <c r="BG256" i="1" s="1"/>
  <c r="AA177" i="1"/>
  <c r="AA186" i="1" s="1"/>
  <c r="CA247" i="1"/>
  <c r="CA249" i="1" s="1"/>
  <c r="BX255" i="1"/>
  <c r="BX257" i="1" s="1"/>
  <c r="CD246" i="1"/>
  <c r="CD248" i="1" s="1"/>
  <c r="AA262" i="1"/>
  <c r="AA264" i="1" s="1"/>
  <c r="CG271" i="1"/>
  <c r="CG273" i="1" s="1"/>
  <c r="CV271" i="1"/>
  <c r="CV273" i="1" s="1"/>
  <c r="AN246" i="1"/>
  <c r="AN248" i="1" s="1"/>
  <c r="CP177" i="1"/>
  <c r="CP186" i="1" s="1"/>
  <c r="AV176" i="1"/>
  <c r="AV185" i="1" s="1"/>
  <c r="BM271" i="1"/>
  <c r="BM273" i="1" s="1"/>
  <c r="L246" i="1"/>
  <c r="L248" i="1" s="1"/>
  <c r="AR263" i="1"/>
  <c r="AR265" i="1" s="1"/>
  <c r="Q255" i="1"/>
  <c r="Q257" i="1" s="1"/>
  <c r="P255" i="1"/>
  <c r="P257" i="1" s="1"/>
  <c r="H247" i="1"/>
  <c r="H249" i="1" s="1"/>
  <c r="BE247" i="1"/>
  <c r="BE249" i="1" s="1"/>
  <c r="AM246" i="1"/>
  <c r="AM248" i="1" s="1"/>
  <c r="BL262" i="1"/>
  <c r="BL264" i="1" s="1"/>
  <c r="CE246" i="1"/>
  <c r="CE248" i="1" s="1"/>
  <c r="AM270" i="1"/>
  <c r="AM272" i="1" s="1"/>
  <c r="AH254" i="1"/>
  <c r="AH256" i="1" s="1"/>
  <c r="BE270" i="1"/>
  <c r="BE272" i="1" s="1"/>
  <c r="BS247" i="1"/>
  <c r="BS249" i="1" s="1"/>
  <c r="AB254" i="1"/>
  <c r="AB256" i="1" s="1"/>
  <c r="P270" i="1"/>
  <c r="P272" i="1" s="1"/>
  <c r="BY270" i="1"/>
  <c r="BY272" i="1" s="1"/>
  <c r="H176" i="1"/>
  <c r="H185" i="1" s="1"/>
  <c r="P254" i="1"/>
  <c r="P256" i="1" s="1"/>
  <c r="BJ176" i="1"/>
  <c r="BJ185" i="1" s="1"/>
  <c r="BD176" i="1"/>
  <c r="BD185" i="1" s="1"/>
  <c r="CT262" i="1"/>
  <c r="CT264" i="1" s="1"/>
  <c r="J176" i="1"/>
  <c r="J185" i="1" s="1"/>
  <c r="S246" i="1"/>
  <c r="S248" i="1" s="1"/>
  <c r="X263" i="1"/>
  <c r="X265" i="1" s="1"/>
  <c r="AW270" i="1"/>
  <c r="AW272" i="1" s="1"/>
  <c r="AP246" i="1"/>
  <c r="AP248" i="1" s="1"/>
  <c r="BZ271" i="1"/>
  <c r="BZ273" i="1" s="1"/>
  <c r="BD254" i="1"/>
  <c r="BD256" i="1" s="1"/>
  <c r="K255" i="1"/>
  <c r="K257" i="1" s="1"/>
  <c r="X255" i="1"/>
  <c r="X257" i="1" s="1"/>
  <c r="AO176" i="1"/>
  <c r="AO185" i="1" s="1"/>
  <c r="BT270" i="1"/>
  <c r="BT272" i="1" s="1"/>
  <c r="AK255" i="1"/>
  <c r="AK257" i="1" s="1"/>
  <c r="M247" i="1"/>
  <c r="M249" i="1" s="1"/>
  <c r="BA247" i="1"/>
  <c r="BA249" i="1" s="1"/>
  <c r="CP254" i="1"/>
  <c r="CP256" i="1" s="1"/>
  <c r="AA270" i="1"/>
  <c r="AA272" i="1" s="1"/>
  <c r="CC270" i="1"/>
  <c r="CC272" i="1" s="1"/>
  <c r="Q271" i="1"/>
  <c r="Q273" i="1" s="1"/>
  <c r="AA246" i="1"/>
  <c r="AA248" i="1" s="1"/>
  <c r="BU262" i="1"/>
  <c r="BU264" i="1" s="1"/>
  <c r="BN246" i="1"/>
  <c r="BN248" i="1" s="1"/>
  <c r="AA255" i="1"/>
  <c r="AA257" i="1" s="1"/>
  <c r="BX177" i="1"/>
  <c r="BX186" i="1" s="1"/>
  <c r="BC255" i="1"/>
  <c r="BC257" i="1" s="1"/>
  <c r="E247" i="1"/>
  <c r="E249" i="1" s="1"/>
  <c r="R246" i="1"/>
  <c r="R248" i="1" s="1"/>
  <c r="BW255" i="1"/>
  <c r="BW257" i="1" s="1"/>
  <c r="BY247" i="1"/>
  <c r="BY249" i="1" s="1"/>
  <c r="CS270" i="1"/>
  <c r="CS272" i="1" s="1"/>
  <c r="AW176" i="1"/>
  <c r="AW185" i="1" s="1"/>
  <c r="BS177" i="1"/>
  <c r="BS186" i="1" s="1"/>
  <c r="BV255" i="1"/>
  <c r="BV257" i="1" s="1"/>
  <c r="CX246" i="1"/>
  <c r="CX248" i="1" s="1"/>
  <c r="D176" i="1"/>
  <c r="D185" i="1" s="1"/>
  <c r="AU271" i="1"/>
  <c r="AU273" i="1" s="1"/>
  <c r="BL177" i="1"/>
  <c r="BL186" i="1" s="1"/>
  <c r="CO255" i="1"/>
  <c r="CO257" i="1" s="1"/>
  <c r="CS255" i="1"/>
  <c r="CS257" i="1" s="1"/>
  <c r="CF254" i="1"/>
  <c r="CF256" i="1" s="1"/>
  <c r="BK271" i="1"/>
  <c r="BK273" i="1" s="1"/>
  <c r="R270" i="1"/>
  <c r="R272" i="1" s="1"/>
  <c r="AS176" i="1"/>
  <c r="AS185" i="1" s="1"/>
  <c r="CF271" i="1"/>
  <c r="CF273" i="1" s="1"/>
  <c r="BV270" i="1"/>
  <c r="BV272" i="1" s="1"/>
  <c r="BQ270" i="1"/>
  <c r="BQ272" i="1" s="1"/>
  <c r="CT247" i="1"/>
  <c r="CT249" i="1" s="1"/>
  <c r="CR255" i="1"/>
  <c r="CR257" i="1" s="1"/>
  <c r="AA254" i="1"/>
  <c r="AA256" i="1" s="1"/>
  <c r="CU270" i="1"/>
  <c r="CU272" i="1" s="1"/>
  <c r="AT263" i="1"/>
  <c r="AT265" i="1" s="1"/>
  <c r="CV262" i="1"/>
  <c r="CV264" i="1" s="1"/>
  <c r="BM177" i="1"/>
  <c r="BM186" i="1" s="1"/>
  <c r="Z177" i="1"/>
  <c r="Z186" i="1" s="1"/>
  <c r="CS176" i="1"/>
  <c r="CS185" i="1" s="1"/>
  <c r="AZ262" i="1"/>
  <c r="AZ264" i="1" s="1"/>
  <c r="AM255" i="1"/>
  <c r="AM257" i="1" s="1"/>
  <c r="AL255" i="1"/>
  <c r="AL257" i="1" s="1"/>
  <c r="AT177" i="1"/>
  <c r="AT186" i="1" s="1"/>
  <c r="CQ254" i="1"/>
  <c r="CQ256" i="1" s="1"/>
  <c r="CN176" i="1"/>
  <c r="CN185" i="1" s="1"/>
  <c r="CK176" i="1"/>
  <c r="CK185" i="1" s="1"/>
  <c r="BS254" i="1"/>
  <c r="BS256" i="1" s="1"/>
  <c r="CW262" i="1"/>
  <c r="CW264" i="1" s="1"/>
  <c r="AF177" i="1"/>
  <c r="AF186" i="1" s="1"/>
  <c r="G247" i="1"/>
  <c r="G249" i="1" s="1"/>
  <c r="AX271" i="1"/>
  <c r="AX273" i="1" s="1"/>
  <c r="BK177" i="1"/>
  <c r="BK186" i="1" s="1"/>
  <c r="BD271" i="1"/>
  <c r="BD273" i="1" s="1"/>
  <c r="AC176" i="1"/>
  <c r="AC185" i="1" s="1"/>
  <c r="AF263" i="1"/>
  <c r="AF265" i="1" s="1"/>
  <c r="AV270" i="1"/>
  <c r="AV272" i="1" s="1"/>
  <c r="BU255" i="1"/>
  <c r="BU257" i="1" s="1"/>
  <c r="AI246" i="1"/>
  <c r="AI248" i="1" s="1"/>
  <c r="BH255" i="1"/>
  <c r="BH257" i="1" s="1"/>
  <c r="BP263" i="1"/>
  <c r="BP265" i="1" s="1"/>
  <c r="BV247" i="1"/>
  <c r="BV249" i="1" s="1"/>
  <c r="BB177" i="1"/>
  <c r="BB186" i="1" s="1"/>
  <c r="CT271" i="1"/>
  <c r="CT273" i="1" s="1"/>
  <c r="AA176" i="1"/>
  <c r="AA185" i="1" s="1"/>
  <c r="BI271" i="1"/>
  <c r="BI273" i="1" s="1"/>
  <c r="CU176" i="1"/>
  <c r="CU185" i="1" s="1"/>
  <c r="CO246" i="1"/>
  <c r="CO248" i="1" s="1"/>
  <c r="AJ270" i="1"/>
  <c r="AJ272" i="1" s="1"/>
  <c r="CD255" i="1"/>
  <c r="CD257" i="1" s="1"/>
  <c r="CQ246" i="1"/>
  <c r="CQ248" i="1" s="1"/>
  <c r="BB255" i="1"/>
  <c r="BB257" i="1" s="1"/>
  <c r="L254" i="1"/>
  <c r="L256" i="1" s="1"/>
  <c r="CR176" i="1"/>
  <c r="CR185" i="1" s="1"/>
  <c r="T177" i="1"/>
  <c r="T186" i="1" s="1"/>
  <c r="O270" i="1"/>
  <c r="O272" i="1" s="1"/>
  <c r="I176" i="1"/>
  <c r="I185" i="1" s="1"/>
  <c r="CJ270" i="1"/>
  <c r="CJ272" i="1" s="1"/>
  <c r="AT254" i="1"/>
  <c r="AT256" i="1" s="1"/>
  <c r="CC247" i="1"/>
  <c r="CC249" i="1" s="1"/>
  <c r="L263" i="1"/>
  <c r="L265" i="1" s="1"/>
  <c r="F177" i="1"/>
  <c r="F186" i="1" s="1"/>
  <c r="U255" i="1"/>
  <c r="U257" i="1" s="1"/>
  <c r="M176" i="1"/>
  <c r="M185" i="1" s="1"/>
  <c r="W271" i="1"/>
  <c r="W273" i="1" s="1"/>
  <c r="BU254" i="1"/>
  <c r="BU256" i="1" s="1"/>
  <c r="BJ255" i="1"/>
  <c r="BJ257" i="1" s="1"/>
  <c r="BV271" i="1"/>
  <c r="BV273" i="1" s="1"/>
  <c r="BM247" i="1"/>
  <c r="BM249" i="1" s="1"/>
  <c r="BL254" i="1"/>
  <c r="BL256" i="1" s="1"/>
  <c r="BC271" i="1"/>
  <c r="BC273" i="1" s="1"/>
  <c r="S177" i="1"/>
  <c r="S186" i="1" s="1"/>
  <c r="BQ254" i="1"/>
  <c r="BQ256" i="1" s="1"/>
  <c r="BO262" i="1"/>
  <c r="BO264" i="1" s="1"/>
  <c r="BF176" i="1"/>
  <c r="BF185" i="1" s="1"/>
  <c r="BU247" i="1"/>
  <c r="BU249" i="1" s="1"/>
  <c r="AV262" i="1"/>
  <c r="AV264" i="1" s="1"/>
  <c r="X254" i="1"/>
  <c r="X256" i="1" s="1"/>
  <c r="T262" i="1"/>
  <c r="T264" i="1" s="1"/>
  <c r="AB177" i="1"/>
  <c r="AB186" i="1" s="1"/>
  <c r="BZ255" i="1"/>
  <c r="BZ257" i="1" s="1"/>
  <c r="BC254" i="1"/>
  <c r="BC256" i="1" s="1"/>
  <c r="AK254" i="1"/>
  <c r="AK256" i="1" s="1"/>
  <c r="CX270" i="1"/>
  <c r="CX272" i="1" s="1"/>
  <c r="BQ177" i="1"/>
  <c r="BQ186" i="1" s="1"/>
  <c r="BB176" i="1"/>
  <c r="BB185" i="1" s="1"/>
  <c r="BN262" i="1"/>
  <c r="BN264" i="1" s="1"/>
  <c r="AQ270" i="1"/>
  <c r="AQ272" i="1" s="1"/>
  <c r="BP270" i="1"/>
  <c r="BP272" i="1" s="1"/>
  <c r="BJ177" i="1"/>
  <c r="BJ186" i="1" s="1"/>
  <c r="CJ263" i="1"/>
  <c r="CJ265" i="1" s="1"/>
  <c r="AI271" i="1"/>
  <c r="AI273" i="1" s="1"/>
  <c r="G254" i="1"/>
  <c r="G256" i="1" s="1"/>
  <c r="BP255" i="1"/>
  <c r="BP257" i="1" s="1"/>
  <c r="AS255" i="1"/>
  <c r="AS257" i="1" s="1"/>
  <c r="AR255" i="1"/>
  <c r="AR257" i="1" s="1"/>
  <c r="CQ255" i="1"/>
  <c r="CQ257" i="1" s="1"/>
  <c r="T247" i="1"/>
  <c r="T249" i="1" s="1"/>
  <c r="X270" i="1"/>
  <c r="X272" i="1" s="1"/>
  <c r="CO247" i="1"/>
  <c r="CO249" i="1" s="1"/>
  <c r="BN247" i="1"/>
  <c r="BN249" i="1" s="1"/>
  <c r="CJ262" i="1"/>
  <c r="CJ264" i="1" s="1"/>
  <c r="BB247" i="1"/>
  <c r="BB249" i="1" s="1"/>
  <c r="BE246" i="1"/>
  <c r="BE248" i="1" s="1"/>
  <c r="BS270" i="1"/>
  <c r="BS272" i="1" s="1"/>
  <c r="CM246" i="1"/>
  <c r="CM248" i="1" s="1"/>
  <c r="BI247" i="1"/>
  <c r="BI249" i="1" s="1"/>
  <c r="AL263" i="1"/>
  <c r="AL265" i="1" s="1"/>
  <c r="AZ177" i="1"/>
  <c r="AZ186" i="1" s="1"/>
  <c r="BI255" i="1"/>
  <c r="BI257" i="1" s="1"/>
  <c r="V254" i="1"/>
  <c r="V256" i="1" s="1"/>
  <c r="AN176" i="1"/>
  <c r="AN185" i="1" s="1"/>
  <c r="AC270" i="1"/>
  <c r="AC272" i="1" s="1"/>
  <c r="Q247" i="1"/>
  <c r="Q249" i="1" s="1"/>
  <c r="AC262" i="1"/>
  <c r="AC264" i="1" s="1"/>
  <c r="AD246" i="1"/>
  <c r="AD248" i="1" s="1"/>
  <c r="Y270" i="1"/>
  <c r="Y272" i="1" s="1"/>
  <c r="K246" i="1"/>
  <c r="K248" i="1" s="1"/>
  <c r="BY246" i="1"/>
  <c r="BY248" i="1" s="1"/>
  <c r="BX271" i="1"/>
  <c r="BX273" i="1" s="1"/>
  <c r="BP254" i="1"/>
  <c r="BP256" i="1" s="1"/>
  <c r="AM177" i="1"/>
  <c r="AM186" i="1" s="1"/>
  <c r="CL247" i="1"/>
  <c r="CL249" i="1" s="1"/>
  <c r="CQ270" i="1"/>
  <c r="CQ272" i="1" s="1"/>
  <c r="R262" i="1"/>
  <c r="R264" i="1" s="1"/>
  <c r="CL177" i="1"/>
  <c r="CL186" i="1" s="1"/>
  <c r="CK270" i="1"/>
  <c r="CK272" i="1" s="1"/>
  <c r="AS247" i="1"/>
  <c r="AS249" i="1" s="1"/>
  <c r="CS247" i="1"/>
  <c r="CS249" i="1" s="1"/>
  <c r="CH246" i="1"/>
  <c r="CH248" i="1" s="1"/>
  <c r="U270" i="1"/>
  <c r="U272" i="1" s="1"/>
  <c r="AM262" i="1"/>
  <c r="AM264" i="1" s="1"/>
  <c r="CC246" i="1"/>
  <c r="CC248" i="1" s="1"/>
  <c r="CL176" i="1"/>
  <c r="CL185" i="1" s="1"/>
  <c r="CB271" i="1"/>
  <c r="CB273" i="1" s="1"/>
  <c r="BW262" i="1"/>
  <c r="BW264" i="1" s="1"/>
  <c r="D246" i="1"/>
  <c r="D248" i="1" s="1"/>
  <c r="H263" i="1"/>
  <c r="H265" i="1" s="1"/>
  <c r="AJ246" i="1"/>
  <c r="AJ248" i="1" s="1"/>
  <c r="BA246" i="1"/>
  <c r="BA248" i="1" s="1"/>
  <c r="O255" i="1"/>
  <c r="O257" i="1" s="1"/>
  <c r="CE262" i="1"/>
  <c r="CE264" i="1" s="1"/>
  <c r="AK176" i="1"/>
  <c r="AK185" i="1" s="1"/>
  <c r="CM247" i="1"/>
  <c r="CM249" i="1" s="1"/>
  <c r="CU246" i="1"/>
  <c r="CU248" i="1" s="1"/>
  <c r="J254" i="1"/>
  <c r="J256" i="1" s="1"/>
  <c r="O247" i="1"/>
  <c r="O249" i="1" s="1"/>
  <c r="AU255" i="1"/>
  <c r="AU257" i="1" s="1"/>
  <c r="O263" i="1"/>
  <c r="O265" i="1" s="1"/>
  <c r="F176" i="1"/>
  <c r="F185" i="1" s="1"/>
  <c r="AR247" i="1"/>
  <c r="AR249" i="1" s="1"/>
  <c r="BE262" i="1"/>
  <c r="BE264" i="1" s="1"/>
  <c r="BC263" i="1"/>
  <c r="BC265" i="1" s="1"/>
  <c r="CU254" i="1"/>
  <c r="CU256" i="1" s="1"/>
  <c r="Y177" i="1"/>
  <c r="Y186" i="1" s="1"/>
  <c r="F270" i="1"/>
  <c r="F272" i="1" s="1"/>
  <c r="V246" i="1"/>
  <c r="V248" i="1" s="1"/>
  <c r="G271" i="1"/>
  <c r="G273" i="1" s="1"/>
  <c r="O254" i="1"/>
  <c r="O256" i="1" s="1"/>
  <c r="U262" i="1"/>
  <c r="U264" i="1" s="1"/>
  <c r="BH270" i="1"/>
  <c r="BH272" i="1" s="1"/>
  <c r="K176" i="1"/>
  <c r="K185" i="1" s="1"/>
  <c r="AX270" i="1"/>
  <c r="AX272" i="1" s="1"/>
  <c r="CQ271" i="1"/>
  <c r="CQ273" i="1" s="1"/>
  <c r="CU271" i="1"/>
  <c r="CU273" i="1" s="1"/>
  <c r="V247" i="1"/>
  <c r="V249" i="1" s="1"/>
  <c r="H246" i="1"/>
  <c r="H248" i="1" s="1"/>
  <c r="BH263" i="1"/>
  <c r="BH265" i="1" s="1"/>
  <c r="CP270" i="1"/>
  <c r="CP272" i="1" s="1"/>
  <c r="J247" i="1"/>
  <c r="J249" i="1" s="1"/>
  <c r="AY270" i="1"/>
  <c r="AY272" i="1" s="1"/>
  <c r="CA262" i="1"/>
  <c r="CA264" i="1" s="1"/>
  <c r="CO270" i="1"/>
  <c r="CO272" i="1" s="1"/>
  <c r="BY262" i="1"/>
  <c r="BY264" i="1" s="1"/>
  <c r="BH177" i="1"/>
  <c r="BH186" i="1" s="1"/>
  <c r="Q254" i="1"/>
  <c r="Q256" i="1" s="1"/>
  <c r="AW263" i="1"/>
  <c r="AW265" i="1" s="1"/>
  <c r="CI254" i="1"/>
  <c r="CI256" i="1" s="1"/>
  <c r="CB254" i="1"/>
  <c r="CB256" i="1" s="1"/>
  <c r="X262" i="1"/>
  <c r="X264" i="1" s="1"/>
  <c r="AD176" i="1"/>
  <c r="AD185" i="1" s="1"/>
  <c r="F262" i="1"/>
  <c r="F264" i="1" s="1"/>
  <c r="AE262" i="1"/>
  <c r="AE264" i="1" s="1"/>
  <c r="CS246" i="1"/>
  <c r="CS248" i="1" s="1"/>
  <c r="E262" i="1"/>
  <c r="E264" i="1" s="1"/>
  <c r="BT176" i="1"/>
  <c r="BT185" i="1" s="1"/>
  <c r="BZ262" i="1"/>
  <c r="BZ264" i="1" s="1"/>
  <c r="CH270" i="1"/>
  <c r="CH272" i="1" s="1"/>
  <c r="AR262" i="1"/>
  <c r="AR264" i="1" s="1"/>
  <c r="L177" i="1"/>
  <c r="L186" i="1" s="1"/>
  <c r="D247" i="1"/>
  <c r="D249" i="1" s="1"/>
  <c r="CC255" i="1"/>
  <c r="CC257" i="1" s="1"/>
  <c r="CD176" i="1"/>
  <c r="CD185" i="1" s="1"/>
  <c r="AQ263" i="1"/>
  <c r="AQ265" i="1" s="1"/>
  <c r="CT254" i="1"/>
  <c r="CT256" i="1" s="1"/>
  <c r="BG246" i="1"/>
  <c r="BG248" i="1" s="1"/>
  <c r="S270" i="1"/>
  <c r="S272" i="1" s="1"/>
  <c r="BN270" i="1"/>
  <c r="BN272" i="1" s="1"/>
  <c r="AS271" i="1"/>
  <c r="AS273" i="1" s="1"/>
  <c r="CX263" i="1"/>
  <c r="CX265" i="1" s="1"/>
  <c r="CL254" i="1"/>
  <c r="CL256" i="1" s="1"/>
  <c r="AW262" i="1"/>
  <c r="AW264" i="1" s="1"/>
  <c r="AV254" i="1"/>
  <c r="AV256" i="1" s="1"/>
  <c r="BU246" i="1"/>
  <c r="BU248" i="1" s="1"/>
  <c r="BB262" i="1"/>
  <c r="BB264" i="1" s="1"/>
  <c r="BO270" i="1"/>
  <c r="BO272" i="1" s="1"/>
  <c r="BA177" i="1"/>
  <c r="BA186" i="1" s="1"/>
  <c r="I262" i="1"/>
  <c r="I264" i="1" s="1"/>
  <c r="CE176" i="1"/>
  <c r="CE185" i="1" s="1"/>
  <c r="BT247" i="1"/>
  <c r="BT249" i="1" s="1"/>
  <c r="CB262" i="1"/>
  <c r="CB264" i="1" s="1"/>
  <c r="U254" i="1"/>
  <c r="U256" i="1" s="1"/>
  <c r="I263" i="1"/>
  <c r="I265" i="1" s="1"/>
  <c r="AE263" i="1"/>
  <c r="AE265" i="1" s="1"/>
  <c r="AI270" i="1"/>
  <c r="AI272" i="1" s="1"/>
  <c r="H177" i="1"/>
  <c r="H186" i="1" s="1"/>
  <c r="BJ254" i="1"/>
  <c r="BJ256" i="1" s="1"/>
  <c r="AJ254" i="1"/>
  <c r="AJ256" i="1" s="1"/>
  <c r="S254" i="1"/>
  <c r="S256" i="1" s="1"/>
  <c r="CL270" i="1"/>
  <c r="CL272" i="1" s="1"/>
  <c r="CB263" i="1"/>
  <c r="CB265" i="1" s="1"/>
  <c r="AO177" i="1"/>
  <c r="AO186" i="1" s="1"/>
  <c r="AF262" i="1"/>
  <c r="AF264" i="1" s="1"/>
  <c r="BD246" i="1"/>
  <c r="BD248" i="1" s="1"/>
  <c r="BF254" i="1"/>
  <c r="BF256" i="1" s="1"/>
  <c r="BA263" i="1"/>
  <c r="BA265" i="1" s="1"/>
  <c r="AR270" i="1"/>
  <c r="AR272" i="1" s="1"/>
  <c r="Z246" i="1"/>
  <c r="Z248" i="1" s="1"/>
  <c r="V255" i="1"/>
  <c r="V257" i="1" s="1"/>
  <c r="E254" i="1"/>
  <c r="E256" i="1" s="1"/>
  <c r="I246" i="1"/>
  <c r="I248" i="1" s="1"/>
  <c r="AU176" i="1"/>
  <c r="AU185" i="1" s="1"/>
  <c r="R271" i="1"/>
  <c r="R273" i="1" s="1"/>
  <c r="AQ177" i="1"/>
  <c r="AQ186" i="1" s="1"/>
  <c r="BJ262" i="1"/>
  <c r="BJ264" i="1" s="1"/>
  <c r="Y262" i="1"/>
  <c r="Y264" i="1" s="1"/>
  <c r="CR271" i="1"/>
  <c r="CR273" i="1" s="1"/>
  <c r="D271" i="1"/>
  <c r="D273" i="1" s="1"/>
  <c r="CV177" i="1"/>
  <c r="CV186" i="1" s="1"/>
  <c r="CX254" i="1"/>
  <c r="CX256" i="1" s="1"/>
  <c r="AT176" i="1"/>
  <c r="AT185" i="1" s="1"/>
  <c r="BZ247" i="1"/>
  <c r="BZ249" i="1" s="1"/>
  <c r="CU263" i="1"/>
  <c r="CU265" i="1" s="1"/>
  <c r="K271" i="1"/>
  <c r="K273" i="1" s="1"/>
  <c r="AF246" i="1"/>
  <c r="AF248" i="1" s="1"/>
  <c r="AK263" i="1"/>
  <c r="AK265" i="1" s="1"/>
  <c r="CW176" i="1"/>
  <c r="CW185" i="1" s="1"/>
  <c r="AO246" i="1"/>
  <c r="AO248"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<sst xmlns="http://schemas.openxmlformats.org/spreadsheetml/2006/main" count="331" uniqueCount="147">
  <si>
    <t>Paramètres</t>
  </si>
  <si>
    <t xml:space="preserve">Prix initial </t>
  </si>
  <si>
    <t>Taux continu</t>
  </si>
  <si>
    <t>R</t>
  </si>
  <si>
    <t>Volatilité</t>
  </si>
  <si>
    <t>𝜎</t>
  </si>
  <si>
    <t>Maturité en années</t>
  </si>
  <si>
    <t>T</t>
  </si>
  <si>
    <t>Nombre de pas</t>
  </si>
  <si>
    <t>N</t>
  </si>
  <si>
    <t>Strike</t>
  </si>
  <si>
    <t>K</t>
  </si>
  <si>
    <t>Prix Put</t>
  </si>
  <si>
    <t>Prix Call</t>
  </si>
  <si>
    <r>
      <t>S</t>
    </r>
    <r>
      <rPr>
        <vertAlign val="subscript"/>
        <sz val="12"/>
        <color theme="1"/>
        <rFont val="Aptos Narrow"/>
        <family val="2"/>
        <scheme val="minor"/>
      </rPr>
      <t>0</t>
    </r>
  </si>
  <si>
    <r>
      <t>d</t>
    </r>
    <r>
      <rPr>
        <vertAlign val="subscript"/>
        <sz val="12"/>
        <color theme="1"/>
        <rFont val="Aptos Narrow"/>
        <family val="2"/>
        <scheme val="minor"/>
      </rPr>
      <t>0</t>
    </r>
  </si>
  <si>
    <r>
      <t>d</t>
    </r>
    <r>
      <rPr>
        <vertAlign val="subscript"/>
        <sz val="12"/>
        <color theme="1"/>
        <rFont val="Aptos Narrow"/>
        <family val="2"/>
        <scheme val="minor"/>
      </rPr>
      <t>1</t>
    </r>
  </si>
  <si>
    <t>log(N)</t>
  </si>
  <si>
    <t>log(erreur) Call</t>
  </si>
  <si>
    <t>BS</t>
  </si>
  <si>
    <r>
      <rPr>
        <b/>
        <sz val="15"/>
        <color theme="8" tint="-0.499984740745262"/>
        <rFont val="Aptos Narrow"/>
        <family val="2"/>
      </rPr>
      <t xml:space="preserve">Δ </t>
    </r>
    <r>
      <rPr>
        <b/>
        <sz val="15"/>
        <color theme="8" tint="-0.499984740745262"/>
        <rFont val="Aptos Narrow"/>
        <family val="2"/>
        <scheme val="minor"/>
      </rPr>
      <t>Call</t>
    </r>
  </si>
  <si>
    <r>
      <rPr>
        <b/>
        <sz val="15"/>
        <color theme="8" tint="-0.499984740745262"/>
        <rFont val="Aptos Narrow"/>
        <family val="2"/>
      </rPr>
      <t>Δ</t>
    </r>
    <r>
      <rPr>
        <b/>
        <sz val="15"/>
        <color theme="8" tint="-0.499984740745262"/>
        <rFont val="Aptos Narrow"/>
        <family val="2"/>
        <scheme val="minor"/>
      </rPr>
      <t xml:space="preserve"> Put</t>
    </r>
  </si>
  <si>
    <t>log(erreur) Put</t>
  </si>
  <si>
    <t>Options Vanille : Convergence du modèle CRR vers le modèle de Black-Scholes</t>
  </si>
  <si>
    <t>Options Vanille : Arbres de valorisation et couverture</t>
  </si>
  <si>
    <t>Options Exotiques : Arbres et convergence</t>
  </si>
  <si>
    <t>Strike sup</t>
  </si>
  <si>
    <t>Type</t>
  </si>
  <si>
    <t>Double-Digital</t>
  </si>
  <si>
    <r>
      <t>K</t>
    </r>
    <r>
      <rPr>
        <vertAlign val="subscript"/>
        <sz val="12"/>
        <color theme="1"/>
        <rFont val="Aptos Narrow"/>
        <family val="2"/>
        <scheme val="minor"/>
      </rPr>
      <t>2</t>
    </r>
  </si>
  <si>
    <t>Arbre de valorisation</t>
  </si>
  <si>
    <t>n=0</t>
  </si>
  <si>
    <t>n=1</t>
  </si>
  <si>
    <t>n=2</t>
  </si>
  <si>
    <t>American Call</t>
  </si>
  <si>
    <t>American Put</t>
  </si>
  <si>
    <t>Arbre des taux de couverture</t>
  </si>
  <si>
    <t>Arbre des montants en actif sans risque</t>
  </si>
  <si>
    <t>Prix</t>
  </si>
  <si>
    <t>Delta</t>
  </si>
  <si>
    <t>d2(K1)=</t>
  </si>
  <si>
    <t>d2(K2)=</t>
  </si>
  <si>
    <t>LimiteP=</t>
  </si>
  <si>
    <t>LimiteD=</t>
  </si>
  <si>
    <t>logN</t>
  </si>
  <si>
    <t>logErrP</t>
  </si>
  <si>
    <t>logErrD</t>
  </si>
  <si>
    <t>Digit</t>
  </si>
  <si>
    <t>Avg call</t>
  </si>
  <si>
    <t>delta</t>
  </si>
  <si>
    <t>logerrP</t>
  </si>
  <si>
    <t>logerrD</t>
  </si>
  <si>
    <t>LimiteP</t>
  </si>
  <si>
    <t>Avg put</t>
  </si>
  <si>
    <t>Look call</t>
  </si>
  <si>
    <t>Look put</t>
  </si>
  <si>
    <t>Am call</t>
  </si>
  <si>
    <t>Am Put</t>
  </si>
  <si>
    <t>d1</t>
  </si>
  <si>
    <t>LimD</t>
  </si>
  <si>
    <t>LimCallP</t>
  </si>
  <si>
    <t>LimCallD</t>
  </si>
  <si>
    <t>LimPutP</t>
  </si>
  <si>
    <t>LimPutD</t>
  </si>
  <si>
    <t>LimP</t>
  </si>
  <si>
    <t>Digital Call</t>
  </si>
  <si>
    <t>Digital Put</t>
  </si>
  <si>
    <t>Bull Spread</t>
  </si>
  <si>
    <t>Bear Spread</t>
  </si>
  <si>
    <t>Strangle</t>
  </si>
  <si>
    <t>Butterfly</t>
  </si>
  <si>
    <t>Dig Call</t>
  </si>
  <si>
    <t>Dig Put</t>
  </si>
  <si>
    <t>Bull</t>
  </si>
  <si>
    <t>Bear</t>
  </si>
  <si>
    <t>d11</t>
  </si>
  <si>
    <t>d12</t>
  </si>
  <si>
    <t>Km</t>
  </si>
  <si>
    <t>dm</t>
  </si>
  <si>
    <t>Arithmetic Call</t>
  </si>
  <si>
    <t>Arithmetic Put</t>
  </si>
  <si>
    <t>Lookback Call</t>
  </si>
  <si>
    <t>Lookback Put</t>
  </si>
  <si>
    <t>Geometric Call</t>
  </si>
  <si>
    <t>Geometric Put</t>
  </si>
  <si>
    <t>Geom call</t>
  </si>
  <si>
    <t>Geom put</t>
  </si>
  <si>
    <t>limPcall</t>
  </si>
  <si>
    <t>limDcall</t>
  </si>
  <si>
    <t>limPput</t>
  </si>
  <si>
    <t>limDput</t>
  </si>
  <si>
    <t>n=3</t>
  </si>
  <si>
    <t>Modèle Black-Scholes</t>
  </si>
  <si>
    <t>Sous-jacent min</t>
  </si>
  <si>
    <t>Sous-jacent max</t>
  </si>
  <si>
    <t>Nombre de pas en temps</t>
  </si>
  <si>
    <t>Nombre de pas en prix</t>
  </si>
  <si>
    <r>
      <t>S</t>
    </r>
    <r>
      <rPr>
        <vertAlign val="subscript"/>
        <sz val="12"/>
        <color theme="1"/>
        <rFont val="Aptos Narrow"/>
        <family val="2"/>
        <scheme val="minor"/>
      </rPr>
      <t>min</t>
    </r>
  </si>
  <si>
    <r>
      <t>S</t>
    </r>
    <r>
      <rPr>
        <vertAlign val="subscript"/>
        <sz val="12"/>
        <color theme="1"/>
        <rFont val="Aptos Narrow"/>
        <family val="2"/>
        <scheme val="minor"/>
      </rPr>
      <t>max</t>
    </r>
  </si>
  <si>
    <r>
      <t>N</t>
    </r>
    <r>
      <rPr>
        <vertAlign val="subscript"/>
        <sz val="12"/>
        <color theme="1"/>
        <rFont val="Aptos Narrow"/>
        <family val="2"/>
        <scheme val="minor"/>
      </rPr>
      <t>t</t>
    </r>
  </si>
  <si>
    <r>
      <t>N</t>
    </r>
    <r>
      <rPr>
        <vertAlign val="subscript"/>
        <sz val="12"/>
        <color theme="1"/>
        <rFont val="Aptos Narrow"/>
        <family val="2"/>
        <scheme val="minor"/>
      </rPr>
      <t>S</t>
    </r>
  </si>
  <si>
    <t>Sous-jacent</t>
  </si>
  <si>
    <t>Temps</t>
  </si>
  <si>
    <t>Bond</t>
  </si>
  <si>
    <t>Coordonnées</t>
  </si>
  <si>
    <t>S</t>
  </si>
  <si>
    <t>t</t>
  </si>
  <si>
    <t>Δ(t,S)</t>
  </si>
  <si>
    <t>B(t,S)</t>
  </si>
  <si>
    <t>Différences finies</t>
  </si>
  <si>
    <t>V(t,S)</t>
  </si>
  <si>
    <t>Vanilla Call</t>
  </si>
  <si>
    <t>Vanilla Put</t>
  </si>
  <si>
    <t>Call</t>
  </si>
  <si>
    <t>Delta call</t>
  </si>
  <si>
    <t>Put</t>
  </si>
  <si>
    <t>Delta put</t>
  </si>
  <si>
    <t>Digit call</t>
  </si>
  <si>
    <t>Digcall delta</t>
  </si>
  <si>
    <t>Digit Put</t>
  </si>
  <si>
    <t>DigPut delta</t>
  </si>
  <si>
    <t>DD</t>
  </si>
  <si>
    <t>DDDelta</t>
  </si>
  <si>
    <t>Bull Delta</t>
  </si>
  <si>
    <t>Bear delta</t>
  </si>
  <si>
    <t>Strangl delta</t>
  </si>
  <si>
    <t>But</t>
  </si>
  <si>
    <t>But delta</t>
  </si>
  <si>
    <t>Modèle à volatilité locale</t>
  </si>
  <si>
    <t>Coefficient temps</t>
  </si>
  <si>
    <t>Coefficient prix</t>
  </si>
  <si>
    <t>𝛼</t>
  </si>
  <si>
    <t>𝛽</t>
  </si>
  <si>
    <t>𝜎(t,S)</t>
  </si>
  <si>
    <t>Call delta</t>
  </si>
  <si>
    <t>Digit put</t>
  </si>
  <si>
    <t>Digput delta</t>
  </si>
  <si>
    <t>Dddelta</t>
  </si>
  <si>
    <t>Bull delta</t>
  </si>
  <si>
    <t>Strangle delta</t>
  </si>
  <si>
    <t>n=4</t>
  </si>
  <si>
    <t>n=5</t>
  </si>
  <si>
    <t>n=6</t>
  </si>
  <si>
    <t>n=7</t>
  </si>
  <si>
    <t>n=8</t>
  </si>
  <si>
    <t>n=9</t>
  </si>
  <si>
    <t>n=10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</si>
</sst>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000"/>
    <numFmt numFmtId="165" formatCode="0.####"/>
    <numFmt numFmtId="166" formatCode="0.00000"/>
    <numFmt numFmtId="167" formatCode=";;;"/>
  </numFmts>
  <fonts count="23" x14ac:knownFonts="1">
    <font>
      <sz val="11"/>
      <color theme="1"/>
      <name val="Aptos Narrow"/>
      <family val="2"/>
      <scheme val="minor"/>
    </font>
    <font>
      <b/>
      <sz val="15"/>
      <color theme="3"/>
      <name val="Aptos Narrow"/>
      <family val="2"/>
      <scheme val="minor"/>
    </font>
    <font>
      <b/>
      <sz val="11"/>
      <color theme="1"/>
      <name val="Aptos Narrow"/>
      <family val="2"/>
      <scheme val="minor"/>
    </font>
    <font>
      <sz val="11"/>
      <color rgb="FF9C0006"/>
      <name val="Aptos Narrow"/>
      <family val="2"/>
      <scheme val="minor"/>
    </font>
    <font>
      <sz val="11"/>
      <color theme="0"/>
      <name val="Aptos Narrow"/>
      <family val="2"/>
      <scheme val="minor"/>
    </font>
    <font>
      <b/>
      <sz val="15"/>
      <color rgb="FF9C0006"/>
      <name val="Aptos Narrow"/>
      <family val="2"/>
      <scheme val="minor"/>
    </font>
    <font>
      <sz val="15"/>
      <color rgb="FFA80000"/>
      <name val="Aptos Narrow"/>
      <family val="2"/>
      <scheme val="minor"/>
    </font>
    <font>
      <b/>
      <sz val="24"/>
      <color theme="3"/>
      <name val="Aptos Narrow"/>
      <family val="2"/>
      <scheme val="minor"/>
    </font>
    <font>
      <b/>
      <sz val="36"/>
      <color theme="3"/>
      <name val="Aptos Narrow"/>
      <family val="2"/>
      <scheme val="minor"/>
    </font>
    <font>
      <sz val="12"/>
      <color theme="1"/>
      <name val="Aptos Narrow"/>
      <family val="2"/>
      <scheme val="minor"/>
    </font>
    <font>
      <vertAlign val="subscript"/>
      <sz val="12"/>
      <color theme="1"/>
      <name val="Aptos Narrow"/>
      <family val="2"/>
      <scheme val="minor"/>
    </font>
    <font>
      <sz val="12"/>
      <color theme="3"/>
      <name val="Aptos Narrow"/>
      <family val="2"/>
      <scheme val="minor"/>
    </font>
    <font>
      <b/>
      <sz val="15"/>
      <color theme="6" tint="-0.499984740745262"/>
      <name val="Aptos Narrow"/>
      <family val="2"/>
      <scheme val="minor"/>
    </font>
    <font>
      <b/>
      <sz val="15"/>
      <color theme="8" tint="-0.499984740745262"/>
      <name val="Aptos Narrow"/>
      <family val="2"/>
      <scheme val="minor"/>
    </font>
    <font>
      <b/>
      <sz val="15"/>
      <color theme="8" tint="-0.499984740745262"/>
      <name val="Aptos Narrow"/>
      <family val="2"/>
    </font>
    <font>
      <b/>
      <sz val="15"/>
      <color rgb="FFA88000"/>
      <name val="Aptos Narrow"/>
      <family val="2"/>
      <scheme val="minor"/>
    </font>
    <font>
      <b/>
      <sz val="20"/>
      <color theme="1"/>
      <name val="Aptos Narrow"/>
      <family val="2"/>
      <scheme val="minor"/>
    </font>
    <font>
      <sz val="8"/>
      <color theme="1"/>
      <name val="Aptos Narrow"/>
      <family val="2"/>
      <scheme val="minor"/>
    </font>
    <font>
      <b/>
      <sz val="11"/>
      <color theme="0"/>
      <name val="Aptos Narrow"/>
      <family val="2"/>
      <scheme val="minor"/>
    </font>
    <font>
      <sz val="8"/>
      <color theme="0"/>
      <name val="Aptos Narrow"/>
      <family val="2"/>
      <scheme val="minor"/>
    </font>
    <font>
      <sz val="12"/>
      <color theme="1"/>
      <name val="Aptos Narrow"/>
      <family val="2"/>
    </font>
    <font>
      <b/>
      <sz val="15"/>
      <color rgb="FFC00000"/>
      <name val="Aptos Narrow"/>
      <family val="2"/>
      <scheme val="minor"/>
    </font>
    <font>
      <sz val="6"/>
      <color theme="0"/>
      <name val="Aptos Narrow"/>
      <family val="2"/>
      <scheme val="minor"/>
    </font>
  </fonts>
  <fills count="9">
    <fill>
      <patternFill patternType="none"/>
    </fill>
    <fill>
      <patternFill patternType="gray125"/>
    </fill>
    <fill>
      <patternFill patternType="solid">
        <fgColor rgb="FFFFC7CE"/>
      </patternFill>
    </fill>
    <fill>
      <patternFill patternType="solid">
        <fgColor theme="0"/>
        <bgColor indexed="64"/>
      </patternFill>
    </fill>
    <fill>
      <patternFill patternType="solid">
        <fgColor theme="3" tint="0.89999084444715716"/>
        <bgColor indexed="64"/>
      </patternFill>
    </fill>
    <fill>
      <patternFill patternType="solid">
        <fgColor rgb="FFFFC7CE"/>
        <bgColor indexed="64"/>
      </patternFill>
    </fill>
    <fill>
      <patternFill patternType="solid">
        <fgColor theme="9" tint="0.79998168889431442"/>
        <bgColor indexed="64"/>
      </patternFill>
    </fill>
    <fill>
      <patternFill patternType="solid">
        <fgColor rgb="FFEADFF3"/>
        <bgColor indexed="64"/>
      </patternFill>
    </fill>
    <fill>
      <patternFill patternType="solid">
        <fgColor rgb="FFF1F68E"/>
        <bgColor indexed="64"/>
      </patternFill>
    </fill>
  </fills>
  <borders count="39">
    <border>
      <left/>
      <right/>
      <top/>
      <bottom/>
      <diagonal/>
    </border>
    <border>
      <left/>
      <right/>
      <top/>
      <bottom style="thick">
        <color theme="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auto="1"/>
      </left>
      <right/>
      <top/>
      <bottom/>
      <diagonal/>
    </border>
    <border>
      <left style="thick">
        <color auto="1"/>
      </left>
      <right style="thick">
        <color auto="1"/>
      </right>
      <top/>
      <bottom style="thick">
        <color auto="1"/>
      </bottom>
      <diagonal/>
    </border>
    <border>
      <left style="thick">
        <color auto="1"/>
      </left>
      <right/>
      <top/>
      <bottom style="thick">
        <color auto="1"/>
      </bottom>
      <diagonal/>
    </border>
    <border>
      <left/>
      <right/>
      <top/>
      <bottom style="thick">
        <color auto="1"/>
      </bottom>
      <diagonal/>
    </border>
    <border>
      <left style="thin">
        <color theme="2"/>
      </left>
      <right style="thin">
        <color theme="2"/>
      </right>
      <top style="thin">
        <color theme="2"/>
      </top>
      <bottom style="thin">
        <color theme="2"/>
      </bottom>
      <diagonal/>
    </border>
    <border>
      <left style="thin">
        <color theme="2"/>
      </left>
      <right style="thin">
        <color theme="2"/>
      </right>
      <top/>
      <bottom style="thin">
        <color theme="2"/>
      </bottom>
      <diagonal/>
    </border>
    <border>
      <left style="thick">
        <color auto="1"/>
      </left>
      <right style="thick">
        <color auto="1"/>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top style="thin">
        <color theme="0"/>
      </top>
      <bottom style="thin">
        <color theme="0"/>
      </bottom>
      <diagonal/>
    </border>
    <border>
      <left style="thick">
        <color theme="1"/>
      </left>
      <right style="thin">
        <color theme="0"/>
      </right>
      <top style="thick">
        <color theme="1"/>
      </top>
      <bottom style="thin">
        <color theme="0"/>
      </bottom>
      <diagonal/>
    </border>
    <border>
      <left style="thin">
        <color theme="0"/>
      </left>
      <right style="thin">
        <color theme="0"/>
      </right>
      <top style="thick">
        <color theme="1"/>
      </top>
      <bottom style="thin">
        <color theme="0"/>
      </bottom>
      <diagonal/>
    </border>
    <border>
      <left style="thin">
        <color theme="0"/>
      </left>
      <right style="thick">
        <color theme="1"/>
      </right>
      <top style="thick">
        <color theme="1"/>
      </top>
      <bottom style="thin">
        <color theme="0"/>
      </bottom>
      <diagonal/>
    </border>
    <border>
      <left style="thick">
        <color theme="1"/>
      </left>
      <right style="thin">
        <color theme="0"/>
      </right>
      <top style="thin">
        <color theme="0"/>
      </top>
      <bottom style="thin">
        <color theme="0"/>
      </bottom>
      <diagonal/>
    </border>
    <border>
      <left style="thin">
        <color theme="0"/>
      </left>
      <right style="thick">
        <color theme="1"/>
      </right>
      <top style="thin">
        <color theme="0"/>
      </top>
      <bottom style="thin">
        <color theme="0"/>
      </bottom>
      <diagonal/>
    </border>
    <border>
      <left style="thick">
        <color theme="1"/>
      </left>
      <right style="thin">
        <color theme="0"/>
      </right>
      <top style="thin">
        <color theme="0"/>
      </top>
      <bottom style="thick">
        <color theme="1"/>
      </bottom>
      <diagonal/>
    </border>
    <border>
      <left style="thin">
        <color theme="0"/>
      </left>
      <right style="thin">
        <color theme="0"/>
      </right>
      <top style="thin">
        <color theme="0"/>
      </top>
      <bottom style="thick">
        <color theme="1"/>
      </bottom>
      <diagonal/>
    </border>
    <border>
      <left style="thin">
        <color theme="0"/>
      </left>
      <right style="thick">
        <color theme="1"/>
      </right>
      <top style="thin">
        <color theme="0"/>
      </top>
      <bottom style="thick">
        <color theme="1"/>
      </bottom>
      <diagonal/>
    </border>
    <border>
      <left style="thin">
        <color theme="0"/>
      </left>
      <right/>
      <top style="thin">
        <color theme="0"/>
      </top>
      <bottom style="thick">
        <color theme="1"/>
      </bottom>
      <diagonal/>
    </border>
    <border>
      <left style="thick">
        <color theme="0"/>
      </left>
      <right style="thick">
        <color theme="1"/>
      </right>
      <top style="thick">
        <color theme="0"/>
      </top>
      <bottom style="thick">
        <color theme="0"/>
      </bottom>
      <diagonal/>
    </border>
    <border>
      <left style="thick">
        <color theme="0"/>
      </left>
      <right style="thick">
        <color theme="1"/>
      </right>
      <top style="thick">
        <color theme="0"/>
      </top>
      <bottom style="thick">
        <color theme="1"/>
      </bottom>
      <diagonal/>
    </border>
    <border>
      <left style="thick">
        <color theme="1"/>
      </left>
      <right style="thin">
        <color theme="0"/>
      </right>
      <top/>
      <bottom style="thin">
        <color theme="0"/>
      </bottom>
      <diagonal/>
    </border>
    <border>
      <left style="thick">
        <color theme="0"/>
      </left>
      <right style="thick">
        <color theme="1"/>
      </right>
      <top/>
      <bottom style="thick">
        <color theme="0"/>
      </bottom>
      <diagonal/>
    </border>
    <border>
      <left style="thin">
        <color theme="2"/>
      </left>
      <right style="thin">
        <color theme="2"/>
      </right>
      <top style="thin">
        <color theme="2"/>
      </top>
      <bottom style="thick">
        <color theme="1"/>
      </bottom>
      <diagonal/>
    </border>
    <border>
      <left style="thick">
        <color theme="3" tint="0.24994659260841701"/>
      </left>
      <right style="thin">
        <color theme="0"/>
      </right>
      <top style="thick">
        <color theme="3" tint="0.24994659260841701"/>
      </top>
      <bottom style="thin">
        <color theme="0"/>
      </bottom>
      <diagonal/>
    </border>
    <border>
      <left style="thin">
        <color theme="0"/>
      </left>
      <right style="thin">
        <color theme="0"/>
      </right>
      <top style="thick">
        <color theme="3" tint="0.24994659260841701"/>
      </top>
      <bottom style="thin">
        <color theme="0"/>
      </bottom>
      <diagonal/>
    </border>
    <border>
      <left style="thin">
        <color theme="0"/>
      </left>
      <right style="thick">
        <color theme="3" tint="0.24994659260841701"/>
      </right>
      <top style="thick">
        <color theme="3" tint="0.24994659260841701"/>
      </top>
      <bottom style="thin">
        <color theme="0"/>
      </bottom>
      <diagonal/>
    </border>
    <border>
      <left style="thick">
        <color theme="3" tint="0.24994659260841701"/>
      </left>
      <right style="thin">
        <color theme="0"/>
      </right>
      <top style="thin">
        <color theme="0"/>
      </top>
      <bottom style="thin">
        <color theme="0"/>
      </bottom>
      <diagonal/>
    </border>
    <border>
      <left style="thin">
        <color theme="0"/>
      </left>
      <right style="thick">
        <color theme="3" tint="0.24994659260841701"/>
      </right>
      <top style="thin">
        <color theme="0"/>
      </top>
      <bottom style="thin">
        <color theme="0"/>
      </bottom>
      <diagonal/>
    </border>
    <border>
      <left style="thick">
        <color theme="3" tint="0.24994659260841701"/>
      </left>
      <right style="thin">
        <color theme="0"/>
      </right>
      <top style="thin">
        <color theme="0"/>
      </top>
      <bottom style="thick">
        <color theme="3" tint="0.24994659260841701"/>
      </bottom>
      <diagonal/>
    </border>
    <border>
      <left style="thin">
        <color theme="0"/>
      </left>
      <right style="thin">
        <color theme="0"/>
      </right>
      <top style="thin">
        <color theme="0"/>
      </top>
      <bottom style="thick">
        <color theme="3" tint="0.24994659260841701"/>
      </bottom>
      <diagonal/>
    </border>
    <border>
      <left style="thin">
        <color theme="0"/>
      </left>
      <right style="thick">
        <color theme="3" tint="0.24994659260841701"/>
      </right>
      <top style="thin">
        <color theme="0"/>
      </top>
      <bottom style="thick">
        <color theme="3" tint="0.24994659260841701"/>
      </bottom>
      <diagonal/>
    </border>
    <border>
      <left style="thin">
        <color theme="2"/>
      </left>
      <right style="thin">
        <color theme="2"/>
      </right>
      <top style="thin">
        <color theme="2"/>
      </top>
      <bottom/>
      <diagonal/>
    </border>
    <border>
      <left/>
      <right style="thin">
        <color theme="2"/>
      </right>
      <top style="thin">
        <color theme="2"/>
      </top>
      <bottom style="thin">
        <color theme="2"/>
      </bottom>
      <diagonal/>
    </border>
  </borders>
  <cellStyleXfs count="3">
    <xf numFmtId="0" fontId="0" fillId="0" borderId="0"/>
    <xf numFmtId="0" fontId="1" fillId="0" borderId="1" applyNumberFormat="0" applyFill="0" applyAlignment="0" applyProtection="0"/>
    <xf numFmtId="0" fontId="3" fillId="2" borderId="0" applyNumberFormat="0" applyBorder="0" applyAlignment="0" applyProtection="0"/>
  </cellStyleXfs>
  <cellXfs count="91">
    <xf numFmtId="0" fontId="0" fillId="0" borderId="0" xfId="0"/>
    <xf numFmtId="0" fontId="0" fillId="0" borderId="0" xfId="0" applyAlignment="1">
      <alignment horizontal="center" vertical="center"/>
    </xf>
    <xf numFmtId="0" fontId="2" fillId="0" borderId="0" xfId="0" applyFont="1" applyAlignment="1">
      <alignment horizontal="center"/>
    </xf>
    <xf numFmtId="165" fontId="0" fillId="0" borderId="0" xfId="0" applyNumberFormat="1" applyAlignment="1">
      <alignment horizontal="center"/>
    </xf>
    <xf numFmtId="1" fontId="0" fillId="0" borderId="0" xfId="0" applyNumberFormat="1" applyAlignment="1">
      <alignment horizontal="center"/>
    </xf>
    <xf numFmtId="164" fontId="0" fillId="0" borderId="4" xfId="0" applyNumberFormat="1" applyBorder="1" applyAlignment="1">
      <alignment horizontal="center" vertical="center"/>
    </xf>
    <xf numFmtId="0" fontId="1" fillId="0" borderId="6" xfId="1" applyBorder="1" applyAlignment="1">
      <alignment horizontal="center" vertical="center"/>
    </xf>
    <xf numFmtId="0" fontId="1" fillId="0" borderId="7" xfId="1" applyBorder="1" applyAlignment="1">
      <alignment horizontal="center" vertical="center"/>
    </xf>
    <xf numFmtId="0" fontId="1" fillId="3" borderId="3" xfId="1" applyFill="1" applyBorder="1" applyAlignment="1">
      <alignment horizontal="center" vertical="center"/>
    </xf>
    <xf numFmtId="0" fontId="1" fillId="4" borderId="3" xfId="1" applyFill="1" applyBorder="1" applyAlignment="1">
      <alignment horizontal="center" vertical="center"/>
    </xf>
    <xf numFmtId="0" fontId="1" fillId="4" borderId="2" xfId="1" applyFill="1" applyBorder="1" applyAlignment="1">
      <alignment horizontal="center" vertical="center"/>
    </xf>
    <xf numFmtId="0" fontId="5" fillId="2" borderId="2" xfId="2" applyFont="1" applyBorder="1" applyAlignment="1">
      <alignment horizontal="center" vertical="center"/>
    </xf>
    <xf numFmtId="164" fontId="4" fillId="0" borderId="0" xfId="0" applyNumberFormat="1" applyFont="1"/>
    <xf numFmtId="0" fontId="7" fillId="0" borderId="1" xfId="1" applyFont="1" applyAlignment="1"/>
    <xf numFmtId="0" fontId="9" fillId="0" borderId="2" xfId="0" applyFont="1" applyBorder="1" applyAlignment="1">
      <alignment horizontal="center" vertical="center"/>
    </xf>
    <xf numFmtId="0" fontId="9" fillId="0" borderId="5" xfId="0" applyFont="1" applyBorder="1" applyAlignment="1">
      <alignment horizontal="center" vertical="center"/>
    </xf>
    <xf numFmtId="0" fontId="9" fillId="0" borderId="0" xfId="0" applyFont="1"/>
    <xf numFmtId="164" fontId="9" fillId="4" borderId="2" xfId="0" applyNumberFormat="1" applyFont="1" applyFill="1" applyBorder="1" applyAlignment="1">
      <alignment horizontal="center" vertical="center"/>
    </xf>
    <xf numFmtId="164" fontId="9" fillId="5" borderId="2" xfId="0" applyNumberFormat="1" applyFont="1" applyFill="1" applyBorder="1" applyAlignment="1">
      <alignment horizontal="center" vertical="center"/>
    </xf>
    <xf numFmtId="0" fontId="6" fillId="3" borderId="8" xfId="1" applyFont="1" applyFill="1" applyBorder="1" applyAlignment="1">
      <alignment horizontal="center" vertical="center"/>
    </xf>
    <xf numFmtId="0" fontId="9" fillId="0" borderId="0" xfId="0" applyFont="1" applyAlignment="1">
      <alignment horizontal="center" vertical="center"/>
    </xf>
    <xf numFmtId="164" fontId="0" fillId="0" borderId="0" xfId="0" applyNumberFormat="1" applyAlignment="1">
      <alignment horizontal="center" vertical="center"/>
    </xf>
    <xf numFmtId="0" fontId="11" fillId="0" borderId="0" xfId="1" applyFont="1" applyBorder="1" applyAlignment="1">
      <alignment horizontal="center" vertical="center"/>
    </xf>
    <xf numFmtId="0" fontId="9" fillId="3" borderId="2" xfId="1" applyFont="1" applyFill="1" applyBorder="1" applyAlignment="1">
      <alignment horizontal="center" vertical="center"/>
    </xf>
    <xf numFmtId="164" fontId="0" fillId="0" borderId="0" xfId="0" applyNumberFormat="1"/>
    <xf numFmtId="164" fontId="11" fillId="0" borderId="2" xfId="1" applyNumberFormat="1" applyFont="1" applyBorder="1" applyAlignment="1">
      <alignment horizontal="center" vertical="center"/>
    </xf>
    <xf numFmtId="164" fontId="9" fillId="6" borderId="2" xfId="0" applyNumberFormat="1" applyFont="1" applyFill="1" applyBorder="1" applyAlignment="1">
      <alignment horizontal="center" vertical="center"/>
    </xf>
    <xf numFmtId="0" fontId="12" fillId="6" borderId="2" xfId="1" applyFont="1" applyFill="1" applyBorder="1" applyAlignment="1">
      <alignment horizontal="center" vertical="center"/>
    </xf>
    <xf numFmtId="0" fontId="0" fillId="3" borderId="9" xfId="0" applyFill="1" applyBorder="1"/>
    <xf numFmtId="164" fontId="9" fillId="0" borderId="2" xfId="0" applyNumberFormat="1" applyFont="1" applyBorder="1" applyAlignment="1">
      <alignment horizontal="center" vertical="center"/>
    </xf>
    <xf numFmtId="0" fontId="13" fillId="7" borderId="3" xfId="1" applyFont="1" applyFill="1" applyBorder="1" applyAlignment="1">
      <alignment horizontal="center" vertical="center"/>
    </xf>
    <xf numFmtId="0" fontId="13" fillId="7" borderId="2" xfId="1" applyFont="1" applyFill="1" applyBorder="1" applyAlignment="1">
      <alignment horizontal="center" vertical="center"/>
    </xf>
    <xf numFmtId="0" fontId="4" fillId="0" borderId="0" xfId="0" applyFont="1"/>
    <xf numFmtId="164" fontId="9" fillId="8" borderId="2" xfId="0" applyNumberFormat="1" applyFont="1" applyFill="1" applyBorder="1" applyAlignment="1">
      <alignment horizontal="center" vertical="center"/>
    </xf>
    <xf numFmtId="0" fontId="0" fillId="3" borderId="8" xfId="0" applyFill="1" applyBorder="1"/>
    <xf numFmtId="0" fontId="15" fillId="8" borderId="2" xfId="1" applyFont="1" applyFill="1" applyBorder="1" applyAlignment="1">
      <alignment horizontal="center" vertical="center"/>
    </xf>
    <xf numFmtId="166" fontId="9" fillId="7" borderId="2" xfId="0" applyNumberFormat="1" applyFont="1" applyFill="1" applyBorder="1" applyAlignment="1">
      <alignment horizontal="center" vertical="center"/>
    </xf>
    <xf numFmtId="166" fontId="9" fillId="5" borderId="2" xfId="0" applyNumberFormat="1" applyFont="1" applyFill="1" applyBorder="1" applyAlignment="1">
      <alignment horizontal="center" vertical="center"/>
    </xf>
    <xf numFmtId="0" fontId="9" fillId="0" borderId="10" xfId="0" applyFont="1" applyBorder="1" applyAlignment="1">
      <alignment horizontal="center" vertical="center"/>
    </xf>
    <xf numFmtId="166" fontId="4" fillId="0" borderId="0" xfId="0" applyNumberFormat="1" applyFont="1"/>
    <xf numFmtId="0" fontId="16" fillId="0" borderId="0" xfId="0" applyFont="1"/>
    <xf numFmtId="0" fontId="8" fillId="0" borderId="0" xfId="1" applyFont="1" applyBorder="1" applyAlignment="1">
      <alignment vertical="center"/>
    </xf>
    <xf numFmtId="0" fontId="1" fillId="0" borderId="2" xfId="1" applyBorder="1" applyAlignment="1">
      <alignment horizontal="center" vertical="center"/>
    </xf>
    <xf numFmtId="167" fontId="0" fillId="0" borderId="0" xfId="0" applyNumberFormat="1"/>
    <xf numFmtId="0" fontId="17" fillId="0" borderId="0" xfId="0" applyFont="1" applyAlignment="1">
      <alignment horizontal="left"/>
    </xf>
    <xf numFmtId="0" fontId="19" fillId="0" borderId="0" xfId="0" applyFont="1"/>
    <xf numFmtId="0" fontId="19" fillId="0" borderId="0" xfId="0" applyFont="1" applyAlignment="1">
      <alignment horizontal="left"/>
    </xf>
    <xf numFmtId="0" fontId="18" fillId="0" borderId="0" xfId="0" applyFont="1"/>
    <xf numFmtId="0" fontId="8" fillId="0" borderId="0" xfId="1" applyFont="1" applyBorder="1" applyAlignment="1">
      <alignment horizontal="left" vertical="center"/>
    </xf>
    <xf numFmtId="0" fontId="20" fillId="0" borderId="2" xfId="0" applyFont="1" applyBorder="1" applyAlignment="1">
      <alignment horizontal="center" vertical="center"/>
    </xf>
    <xf numFmtId="0" fontId="1" fillId="0" borderId="2" xfId="1" applyFill="1" applyBorder="1" applyAlignment="1">
      <alignment horizontal="center" vertical="center"/>
    </xf>
    <xf numFmtId="0" fontId="21" fillId="0" borderId="2" xfId="1" applyFont="1" applyBorder="1" applyAlignment="1">
      <alignment horizontal="center" vertical="center"/>
    </xf>
    <xf numFmtId="0" fontId="0" fillId="0" borderId="11" xfId="0" applyBorder="1"/>
    <xf numFmtId="0" fontId="0" fillId="0" borderId="12" xfId="0" applyBorder="1"/>
    <xf numFmtId="0" fontId="0" fillId="0" borderId="13" xfId="0" applyBorder="1"/>
    <xf numFmtId="0" fontId="0" fillId="0" borderId="14" xfId="0" applyBorder="1"/>
    <xf numFmtId="0" fontId="11" fillId="0" borderId="2" xfId="1" applyFont="1" applyBorder="1" applyAlignment="1">
      <alignment horizontal="center" vertical="center"/>
    </xf>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28" xfId="0" applyBorder="1"/>
    <xf numFmtId="0" fontId="0" fillId="3" borderId="29" xfId="0" applyFill="1" applyBorder="1"/>
    <xf numFmtId="0" fontId="0" fillId="3" borderId="30" xfId="0" applyFill="1" applyBorder="1"/>
    <xf numFmtId="0" fontId="0" fillId="3" borderId="31" xfId="0" applyFill="1" applyBorder="1"/>
    <xf numFmtId="0" fontId="0" fillId="3" borderId="32" xfId="0" applyFill="1" applyBorder="1"/>
    <xf numFmtId="0" fontId="0" fillId="3" borderId="11" xfId="0" applyFill="1" applyBorder="1"/>
    <xf numFmtId="0" fontId="0" fillId="3" borderId="33" xfId="0" applyFill="1" applyBorder="1"/>
    <xf numFmtId="0" fontId="0" fillId="3" borderId="34" xfId="0" applyFill="1" applyBorder="1"/>
    <xf numFmtId="0" fontId="0" fillId="3" borderId="35" xfId="0" applyFill="1" applyBorder="1"/>
    <xf numFmtId="0" fontId="0" fillId="3" borderId="36" xfId="0" applyFill="1" applyBorder="1"/>
    <xf numFmtId="0" fontId="0" fillId="0" borderId="29" xfId="0" applyBorder="1"/>
    <xf numFmtId="0" fontId="0" fillId="0" borderId="30" xfId="0" applyBorder="1"/>
    <xf numFmtId="0" fontId="0" fillId="0" borderId="31"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xf numFmtId="0" fontId="0" fillId="3" borderId="37" xfId="0" applyFill="1" applyBorder="1"/>
    <xf numFmtId="0" fontId="0" fillId="3" borderId="38" xfId="0" applyFill="1" applyBorder="1"/>
    <xf numFmtId="0" fontId="22" fillId="0" borderId="0" xfId="0" applyFont="1"/>
  </cellXfs>
  <cellStyles count="3">
    <cellStyle name="Bad" xfId="2" builtinId="27"/>
    <cellStyle name="Heading 1" xfId="1" builtinId="16"/>
    <cellStyle name="Normal" xfId="0" builtinId="0"/>
  </cellStyles>
  <dxfs count="0"/>
  <tableStyles count="1" defaultTableStyle="TableStyleMedium2" defaultPivotStyle="PivotStyleLight16">
    <tableStyle name="Table Style 1" pivot="0" count="0" xr9:uid="{37386B14-8C29-42F3-8578-5B14526372F0}"/>
  </tableStyles>
  <colors>
    <mruColors>
      <color rgb="FFCFCB13"/>
      <color rgb="FF7030A0"/>
      <color rgb="FF3B7D23"/>
      <color rgb="FFEAE516"/>
      <color rgb="FFA88000"/>
      <color rgb="FFF1F68E"/>
      <color rgb="FFEADFF3"/>
      <color rgb="FF9C0006"/>
      <color rgb="FF820000"/>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aseline="0"/>
              <a:t>Call : Prix en fonction de 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CRR</c:v>
          </c:tx>
          <c:spPr>
            <a:ln w="19050" cap="rnd">
              <a:solidFill>
                <a:schemeClr val="tx2">
                  <a:lumMod val="75000"/>
                  <a:lumOff val="25000"/>
                </a:schemeClr>
              </a:solidFill>
              <a:round/>
            </a:ln>
            <a:effectLst/>
          </c:spPr>
          <c:marker>
            <c:symbol val="none"/>
          </c:marker>
          <c:xVal>
            <c:numRef>
              <c:f>Opt!$C$19:$CW$19</c:f>
              <c:numCache>
                <c:formatCode>General</c:formatCode>
                <c:ptCount val="99"/>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numCache>
            </c:numRef>
          </c:xVal>
          <c:yVal>
            <c:numRef>
              <c:f>Opt!$C$21:$CW$21</c:f>
              <c:numCache>
                <c:formatCode>0.0000</c:formatCode>
                <c:ptCount val="99"/>
                <c:pt idx="0">
                  <c:v>10.036615830731341</c:v>
                </c:pt>
                <c:pt idx="1">
                  <c:v>10.900579663552488</c:v>
                </c:pt>
                <c:pt idx="2">
                  <c:v>10.352014239365653</c:v>
                </c:pt>
                <c:pt idx="3">
                  <c:v>10.685644220422226</c:v>
                </c:pt>
                <c:pt idx="4">
                  <c:v>10.44056419396232</c:v>
                </c:pt>
                <c:pt idx="5">
                  <c:v>10.593318538681816</c:v>
                </c:pt>
                <c:pt idx="6">
                  <c:v>10.475933173862805</c:v>
                </c:pt>
                <c:pt idx="7">
                  <c:v>10.542129682611758</c:v>
                </c:pt>
                <c:pt idx="8">
                  <c:v>10.492229833519369</c:v>
                </c:pt>
                <c:pt idx="9">
                  <c:v>10.509626471734739</c:v>
                </c:pt>
                <c:pt idx="10">
                  <c:v>10.500088653882903</c:v>
                </c:pt>
                <c:pt idx="11">
                  <c:v>10.487166454411545</c:v>
                </c:pt>
                <c:pt idx="12">
                  <c:v>10.503721188872795</c:v>
                </c:pt>
                <c:pt idx="13">
                  <c:v>10.470721178709228</c:v>
                </c:pt>
                <c:pt idx="14">
                  <c:v>10.505062510798465</c:v>
                </c:pt>
                <c:pt idx="15">
                  <c:v>10.45816132675415</c:v>
                </c:pt>
                <c:pt idx="16">
                  <c:v>10.505096458577668</c:v>
                </c:pt>
                <c:pt idx="17">
                  <c:v>10.448256090578969</c:v>
                </c:pt>
                <c:pt idx="18">
                  <c:v>10.504361046821794</c:v>
                </c:pt>
                <c:pt idx="19">
                  <c:v>10.440244653561399</c:v>
                </c:pt>
                <c:pt idx="20">
                  <c:v>10.50316686679253</c:v>
                </c:pt>
                <c:pt idx="21">
                  <c:v>10.43363147988298</c:v>
                </c:pt>
                <c:pt idx="22">
                  <c:v>10.501700709806729</c:v>
                </c:pt>
                <c:pt idx="23">
                  <c:v>10.428079996697914</c:v>
                </c:pt>
                <c:pt idx="24">
                  <c:v>10.500078437828847</c:v>
                </c:pt>
                <c:pt idx="25">
                  <c:v>10.423353600645678</c:v>
                </c:pt>
                <c:pt idx="26">
                  <c:v>10.49837357199373</c:v>
                </c:pt>
                <c:pt idx="27">
                  <c:v>10.419281115353401</c:v>
                </c:pt>
                <c:pt idx="28">
                  <c:v>10.496633501622927</c:v>
                </c:pt>
                <c:pt idx="29">
                  <c:v>10.415735642924723</c:v>
                </c:pt>
                <c:pt idx="30">
                  <c:v>10.494889042884822</c:v>
                </c:pt>
                <c:pt idx="31">
                  <c:v>10.412621119097263</c:v>
                </c:pt>
                <c:pt idx="32">
                  <c:v>10.493160264832737</c:v>
                </c:pt>
                <c:pt idx="33">
                  <c:v>10.409863486078367</c:v>
                </c:pt>
                <c:pt idx="34">
                  <c:v>10.491460141087826</c:v>
                </c:pt>
                <c:pt idx="35">
                  <c:v>10.407404733213751</c:v>
                </c:pt>
                <c:pt idx="36">
                  <c:v>10.489796893853848</c:v>
                </c:pt>
                <c:pt idx="37">
                  <c:v>10.40519877445375</c:v>
                </c:pt>
                <c:pt idx="38">
                  <c:v>10.488175529502495</c:v>
                </c:pt>
                <c:pt idx="39">
                  <c:v>10.40320853446344</c:v>
                </c:pt>
                <c:pt idx="40">
                  <c:v>10.486598862205856</c:v>
                </c:pt>
                <c:pt idx="41">
                  <c:v>10.401403849275262</c:v>
                </c:pt>
                <c:pt idx="42">
                  <c:v>10.485068206483005</c:v>
                </c:pt>
                <c:pt idx="43">
                  <c:v>10.402184321816566</c:v>
                </c:pt>
                <c:pt idx="44">
                  <c:v>10.483583851623246</c:v>
                </c:pt>
                <c:pt idx="45">
                  <c:v>10.407601913994203</c:v>
                </c:pt>
                <c:pt idx="46">
                  <c:v>10.482145390062138</c:v>
                </c:pt>
                <c:pt idx="47">
                  <c:v>10.412448632684285</c:v>
                </c:pt>
                <c:pt idx="48">
                  <c:v>10.480751946550008</c:v>
                </c:pt>
                <c:pt idx="49">
                  <c:v>10.416798182753327</c:v>
                </c:pt>
                <c:pt idx="50">
                  <c:v>10.479402339077005</c:v>
                </c:pt>
                <c:pt idx="51">
                  <c:v>10.420712630737373</c:v>
                </c:pt>
                <c:pt idx="52">
                  <c:v>10.478095192341296</c:v>
                </c:pt>
                <c:pt idx="53">
                  <c:v>10.424244572459466</c:v>
                </c:pt>
                <c:pt idx="54">
                  <c:v>10.476829017891488</c:v>
                </c:pt>
                <c:pt idx="55">
                  <c:v>10.427438838363859</c:v>
                </c:pt>
                <c:pt idx="56">
                  <c:v>10.475602270676188</c:v>
                </c:pt>
                <c:pt idx="57">
                  <c:v>10.430333846960615</c:v>
                </c:pt>
                <c:pt idx="58">
                  <c:v>10.474413388783749</c:v>
                </c:pt>
                <c:pt idx="59">
                  <c:v>10.432962687747606</c:v>
                </c:pt>
                <c:pt idx="60">
                  <c:v>10.473260821126072</c:v>
                </c:pt>
                <c:pt idx="61">
                  <c:v>10.435353994269157</c:v>
                </c:pt>
                <c:pt idx="62">
                  <c:v>10.472143046452585</c:v>
                </c:pt>
                <c:pt idx="63">
                  <c:v>10.437532652948336</c:v>
                </c:pt>
                <c:pt idx="64">
                  <c:v>10.471058586105135</c:v>
                </c:pt>
                <c:pt idx="65">
                  <c:v>10.439520382395251</c:v>
                </c:pt>
                <c:pt idx="66">
                  <c:v>10.470006012256082</c:v>
                </c:pt>
                <c:pt idx="67">
                  <c:v>10.441336209789586</c:v>
                </c:pt>
                <c:pt idx="68">
                  <c:v>10.468983952877764</c:v>
                </c:pt>
                <c:pt idx="69">
                  <c:v>10.442996864903705</c:v>
                </c:pt>
                <c:pt idx="70">
                  <c:v>10.467991094369294</c:v>
                </c:pt>
                <c:pt idx="71">
                  <c:v>10.44451710778201</c:v>
                </c:pt>
                <c:pt idx="72">
                  <c:v>10.467026182505009</c:v>
                </c:pt>
                <c:pt idx="73">
                  <c:v>10.445910002652584</c:v>
                </c:pt>
                <c:pt idx="74">
                  <c:v>10.466088022186048</c:v>
                </c:pt>
                <c:pt idx="75">
                  <c:v>10.44718714800986</c:v>
                </c:pt>
                <c:pt idx="76">
                  <c:v>10.465175476370447</c:v>
                </c:pt>
                <c:pt idx="77">
                  <c:v>10.448358870765611</c:v>
                </c:pt>
                <c:pt idx="78">
                  <c:v>10.46428746443109</c:v>
                </c:pt>
                <c:pt idx="79">
                  <c:v>10.449434390793723</c:v>
                </c:pt>
                <c:pt idx="80">
                  <c:v>10.463422960140662</c:v>
                </c:pt>
                <c:pt idx="81">
                  <c:v>10.450421960959954</c:v>
                </c:pt>
                <c:pt idx="82">
                  <c:v>10.46258098942938</c:v>
                </c:pt>
                <c:pt idx="83">
                  <c:v>10.451328986753689</c:v>
                </c:pt>
                <c:pt idx="84">
                  <c:v>10.461760628011138</c:v>
                </c:pt>
                <c:pt idx="85">
                  <c:v>10.45216212887575</c:v>
                </c:pt>
                <c:pt idx="86">
                  <c:v>10.460960998960569</c:v>
                </c:pt>
                <c:pt idx="87">
                  <c:v>10.452927391524129</c:v>
                </c:pt>
                <c:pt idx="88">
                  <c:v>10.460181270289926</c:v>
                </c:pt>
                <c:pt idx="89">
                  <c:v>10.4536301986222</c:v>
                </c:pt>
                <c:pt idx="90">
                  <c:v>10.459420652566285</c:v>
                </c:pt>
                <c:pt idx="91">
                  <c:v>10.454275459853855</c:v>
                </c:pt>
                <c:pt idx="92">
                  <c:v>10.458678396593111</c:v>
                </c:pt>
                <c:pt idx="93">
                  <c:v>10.45486762804282</c:v>
                </c:pt>
                <c:pt idx="94">
                  <c:v>10.457953791176271</c:v>
                </c:pt>
                <c:pt idx="95">
                  <c:v>10.455410749157881</c:v>
                </c:pt>
                <c:pt idx="96">
                  <c:v>10.457246160986495</c:v>
                </c:pt>
                <c:pt idx="97">
                  <c:v>10.45590850601412</c:v>
                </c:pt>
                <c:pt idx="98">
                  <c:v>10.456554864518345</c:v>
                </c:pt>
              </c:numCache>
            </c:numRef>
          </c:yVal>
          <c:smooth val="1"/>
          <c:extLst>
            <c:ext xmlns:c16="http://schemas.microsoft.com/office/drawing/2014/chart" uri="{C3380CC4-5D6E-409C-BE32-E72D297353CC}">
              <c16:uniqueId val="{00000001-9E57-41E1-AD8E-BB09A0062A74}"/>
            </c:ext>
          </c:extLst>
        </c:ser>
        <c:ser>
          <c:idx val="1"/>
          <c:order val="1"/>
          <c:tx>
            <c:v>BS</c:v>
          </c:tx>
          <c:spPr>
            <a:ln w="19050" cap="rnd">
              <a:solidFill>
                <a:schemeClr val="accent2"/>
              </a:solidFill>
              <a:round/>
            </a:ln>
            <a:effectLst/>
          </c:spPr>
          <c:marker>
            <c:symbol val="none"/>
          </c:marker>
          <c:xVal>
            <c:numRef>
              <c:f>(Opt!$C$19,Opt!$CW$19)</c:f>
              <c:numCache>
                <c:formatCode>General</c:formatCode>
                <c:ptCount val="2"/>
                <c:pt idx="0">
                  <c:v>2</c:v>
                </c:pt>
                <c:pt idx="1">
                  <c:v>100</c:v>
                </c:pt>
              </c:numCache>
            </c:numRef>
          </c:xVal>
          <c:yVal>
            <c:numRef>
              <c:f>Opt!$CY$7:$CY$8</c:f>
              <c:numCache>
                <c:formatCode>0.0000</c:formatCode>
                <c:ptCount val="2"/>
                <c:pt idx="0">
                  <c:v>10.450583572185565</c:v>
                </c:pt>
                <c:pt idx="1">
                  <c:v>10.450583572185565</c:v>
                </c:pt>
              </c:numCache>
            </c:numRef>
          </c:yVal>
          <c:smooth val="1"/>
          <c:extLst>
            <c:ext xmlns:c16="http://schemas.microsoft.com/office/drawing/2014/chart" uri="{C3380CC4-5D6E-409C-BE32-E72D297353CC}">
              <c16:uniqueId val="{00000007-9E57-41E1-AD8E-BB09A0062A74}"/>
            </c:ext>
          </c:extLst>
        </c:ser>
        <c:dLbls>
          <c:showLegendKey val="0"/>
          <c:showVal val="0"/>
          <c:showCatName val="0"/>
          <c:showSerName val="0"/>
          <c:showPercent val="0"/>
          <c:showBubbleSize val="0"/>
        </c:dLbls>
        <c:axId val="1171083999"/>
        <c:axId val="758543631"/>
      </c:scatterChart>
      <c:valAx>
        <c:axId val="1171083999"/>
        <c:scaling>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543631"/>
        <c:crosses val="autoZero"/>
        <c:crossBetween val="midCat"/>
      </c:valAx>
      <c:valAx>
        <c:axId val="758543631"/>
        <c:scaling>
          <c:orientation val="minMax"/>
          <c:max val="10.943777855193545"/>
          <c:min val="9.993417639090283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Prix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08399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Put :</a:t>
            </a:r>
            <a:r>
              <a:rPr lang="en-GB" baseline="0"/>
              <a:t> </a:t>
            </a:r>
            <a:r>
              <a:rPr lang="en-GB"/>
              <a:t>Prix en fonction de 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CRR</c:v>
          </c:tx>
          <c:spPr>
            <a:ln w="19050" cap="rnd">
              <a:solidFill>
                <a:schemeClr val="tx2">
                  <a:lumMod val="75000"/>
                  <a:lumOff val="25000"/>
                </a:schemeClr>
              </a:solidFill>
              <a:round/>
            </a:ln>
            <a:effectLst/>
          </c:spPr>
          <c:marker>
            <c:symbol val="none"/>
          </c:marker>
          <c:xVal>
            <c:numRef>
              <c:f>Opt!$C$19:$CW$19</c:f>
              <c:numCache>
                <c:formatCode>General</c:formatCode>
                <c:ptCount val="99"/>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numCache>
            </c:numRef>
          </c:xVal>
          <c:yVal>
            <c:numRef>
              <c:f>Opt!$C$23:$CW$23</c:f>
              <c:numCache>
                <c:formatCode>0.0000</c:formatCode>
                <c:ptCount val="99"/>
                <c:pt idx="0">
                  <c:v>5.2180554500055818</c:v>
                </c:pt>
                <c:pt idx="1">
                  <c:v>6.0627297994669487</c:v>
                </c:pt>
                <c:pt idx="2">
                  <c:v>5.504441761080944</c:v>
                </c:pt>
                <c:pt idx="3">
                  <c:v>5.8322129810970971</c:v>
                </c:pt>
                <c:pt idx="4">
                  <c:v>5.5832165529665483</c:v>
                </c:pt>
                <c:pt idx="5">
                  <c:v>5.7331682748660349</c:v>
                </c:pt>
                <c:pt idx="6">
                  <c:v>5.6136780951584582</c:v>
                </c:pt>
                <c:pt idx="7">
                  <c:v>5.6782358346459407</c:v>
                </c:pt>
                <c:pt idx="8">
                  <c:v>5.6270239031261839</c:v>
                </c:pt>
                <c:pt idx="9">
                  <c:v>5.6433463130044323</c:v>
                </c:pt>
                <c:pt idx="10">
                  <c:v>5.6329128187587294</c:v>
                </c:pt>
                <c:pt idx="11">
                  <c:v>5.6192323937995381</c:v>
                </c:pt>
                <c:pt idx="12">
                  <c:v>5.6351369684726667</c:v>
                </c:pt>
                <c:pt idx="13">
                  <c:v>5.6015732980474695</c:v>
                </c:pt>
                <c:pt idx="14">
                  <c:v>5.6354212837892304</c:v>
                </c:pt>
                <c:pt idx="15">
                  <c:v>5.5880846827758406</c:v>
                </c:pt>
                <c:pt idx="16">
                  <c:v>5.6346326896063266</c:v>
                </c:pt>
                <c:pt idx="17">
                  <c:v>5.5774458766331696</c:v>
                </c:pt>
                <c:pt idx="18">
                  <c:v>5.6332389758714383</c:v>
                </c:pt>
                <c:pt idx="19">
                  <c:v>5.5688403801146267</c:v>
                </c:pt>
                <c:pt idx="20">
                  <c:v>5.6315060075594667</c:v>
                </c:pt>
                <c:pt idx="21">
                  <c:v>5.5617363150049872</c:v>
                </c:pt>
                <c:pt idx="22">
                  <c:v>5.6295907381946249</c:v>
                </c:pt>
                <c:pt idx="23">
                  <c:v>5.555772380448678</c:v>
                </c:pt>
                <c:pt idx="24">
                  <c:v>5.627588361283637</c:v>
                </c:pt>
                <c:pt idx="25">
                  <c:v>5.5506945630370605</c:v>
                </c:pt>
                <c:pt idx="26">
                  <c:v>5.6255576278939072</c:v>
                </c:pt>
                <c:pt idx="27">
                  <c:v>5.5463190737141055</c:v>
                </c:pt>
                <c:pt idx="28">
                  <c:v>5.6235350916773186</c:v>
                </c:pt>
                <c:pt idx="29">
                  <c:v>5.5425096533589473</c:v>
                </c:pt>
                <c:pt idx="30">
                  <c:v>5.6215434392863672</c:v>
                </c:pt>
                <c:pt idx="31">
                  <c:v>5.5391631436265198</c:v>
                </c:pt>
                <c:pt idx="32">
                  <c:v>5.6195965212490862</c:v>
                </c:pt>
                <c:pt idx="33">
                  <c:v>5.5362000126332118</c:v>
                </c:pt>
                <c:pt idx="34">
                  <c:v>5.617702473301466</c:v>
                </c:pt>
                <c:pt idx="35">
                  <c:v>5.5335579581771048</c:v>
                </c:pt>
                <c:pt idx="36">
                  <c:v>5.6158656973899488</c:v>
                </c:pt>
                <c:pt idx="37">
                  <c:v>5.531187482240064</c:v>
                </c:pt>
                <c:pt idx="38">
                  <c:v>5.6140881430553282</c:v>
                </c:pt>
                <c:pt idx="39">
                  <c:v>5.5290487627389329</c:v>
                </c:pt>
                <c:pt idx="40">
                  <c:v>5.612370149440693</c:v>
                </c:pt>
                <c:pt idx="41">
                  <c:v>5.527109399592339</c:v>
                </c:pt>
                <c:pt idx="42">
                  <c:v>5.6107110057055287</c:v>
                </c:pt>
                <c:pt idx="43">
                  <c:v>5.5277671568572222</c:v>
                </c:pt>
                <c:pt idx="44">
                  <c:v>5.6091093277676958</c:v>
                </c:pt>
                <c:pt idx="45">
                  <c:v>5.5330724703501373</c:v>
                </c:pt>
                <c:pt idx="46">
                  <c:v>5.6075633133962581</c:v>
                </c:pt>
                <c:pt idx="47">
                  <c:v>5.5378160698502956</c:v>
                </c:pt>
                <c:pt idx="48">
                  <c:v>5.6060709156749073</c:v>
                </c:pt>
                <c:pt idx="49">
                  <c:v>5.5420705833270132</c:v>
                </c:pt>
                <c:pt idx="50">
                  <c:v>5.6046299610713399</c:v>
                </c:pt>
                <c:pt idx="51">
                  <c:v>5.5458971628684521</c:v>
                </c:pt>
                <c:pt idx="52">
                  <c:v>5.6032382295643357</c:v>
                </c:pt>
                <c:pt idx="53">
                  <c:v>5.5493476227828564</c:v>
                </c:pt>
                <c:pt idx="54">
                  <c:v>5.6018935085859605</c:v>
                </c:pt>
                <c:pt idx="55">
                  <c:v>5.552466121623552</c:v>
                </c:pt>
                <c:pt idx="56">
                  <c:v>5.6005936287924625</c:v>
                </c:pt>
                <c:pt idx="57">
                  <c:v>5.5552904970601062</c:v>
                </c:pt>
                <c:pt idx="58">
                  <c:v>5.5993364871709312</c:v>
                </c:pt>
                <c:pt idx="59">
                  <c:v>5.5578533338886622</c:v>
                </c:pt>
                <c:pt idx="60">
                  <c:v>5.5981200613159086</c:v>
                </c:pt>
                <c:pt idx="61">
                  <c:v>5.560182825005179</c:v>
                </c:pt>
                <c:pt idx="62">
                  <c:v>5.5969424175437963</c:v>
                </c:pt>
                <c:pt idx="63">
                  <c:v>5.5623034703909289</c:v>
                </c:pt>
                <c:pt idx="64">
                  <c:v>5.5958017147320405</c:v>
                </c:pt>
                <c:pt idx="65">
                  <c:v>5.5642366483346795</c:v>
                </c:pt>
                <c:pt idx="66">
                  <c:v>5.5946962052079821</c:v>
                </c:pt>
                <c:pt idx="67">
                  <c:v>5.566001085134288</c:v>
                </c:pt>
                <c:pt idx="68">
                  <c:v>5.5936242336378683</c:v>
                </c:pt>
                <c:pt idx="69">
                  <c:v>5.5676132435655745</c:v>
                </c:pt>
                <c:pt idx="70">
                  <c:v>5.5925842345789203</c:v>
                </c:pt>
                <c:pt idx="71">
                  <c:v>5.5690876459232053</c:v>
                </c:pt>
                <c:pt idx="72">
                  <c:v>5.5915747291754911</c:v>
                </c:pt>
                <c:pt idx="73">
                  <c:v>5.5704371440354299</c:v>
                </c:pt>
                <c:pt idx="74">
                  <c:v>5.5905943213368259</c:v>
                </c:pt>
                <c:pt idx="75">
                  <c:v>5.5716731460545628</c:v>
                </c:pt>
                <c:pt idx="76">
                  <c:v>5.589641693633169</c:v>
                </c:pt>
                <c:pt idx="77">
                  <c:v>5.5728058078172662</c:v>
                </c:pt>
                <c:pt idx="78">
                  <c:v>5.588715603080658</c:v>
                </c:pt>
                <c:pt idx="79">
                  <c:v>5.5738441950117181</c:v>
                </c:pt>
                <c:pt idx="80">
                  <c:v>5.5878148769304525</c:v>
                </c:pt>
                <c:pt idx="81">
                  <c:v>5.5747964211732493</c:v>
                </c:pt>
                <c:pt idx="82">
                  <c:v>5.5869384085379306</c:v>
                </c:pt>
                <c:pt idx="83">
                  <c:v>5.575669765569593</c:v>
                </c:pt>
                <c:pt idx="84">
                  <c:v>5.586085153372113</c:v>
                </c:pt>
                <c:pt idx="85">
                  <c:v>5.5764707742832478</c:v>
                </c:pt>
                <c:pt idx="86">
                  <c:v>5.585254125189187</c:v>
                </c:pt>
                <c:pt idx="87">
                  <c:v>5.5772053471911036</c:v>
                </c:pt>
                <c:pt idx="88">
                  <c:v>5.5844443923962306</c:v>
                </c:pt>
                <c:pt idx="89">
                  <c:v>5.577878813063271</c:v>
                </c:pt>
                <c:pt idx="90">
                  <c:v>5.5836550746136258</c:v>
                </c:pt>
                <c:pt idx="91">
                  <c:v>5.5784959946132444</c:v>
                </c:pt>
                <c:pt idx="92">
                  <c:v>5.5828853394353679</c:v>
                </c:pt>
                <c:pt idx="93">
                  <c:v>5.5790612650156035</c:v>
                </c:pt>
                <c:pt idx="94">
                  <c:v>5.5821343993907879</c:v>
                </c:pt>
                <c:pt idx="95">
                  <c:v>5.5795785971575356</c:v>
                </c:pt>
                <c:pt idx="96">
                  <c:v>5.5814015090972005</c:v>
                </c:pt>
                <c:pt idx="97">
                  <c:v>5.580051606675517</c:v>
                </c:pt>
                <c:pt idx="98">
                  <c:v>5.5806859625999028</c:v>
                </c:pt>
              </c:numCache>
            </c:numRef>
          </c:yVal>
          <c:smooth val="1"/>
          <c:extLst>
            <c:ext xmlns:c16="http://schemas.microsoft.com/office/drawing/2014/chart" uri="{C3380CC4-5D6E-409C-BE32-E72D297353CC}">
              <c16:uniqueId val="{00000001-519C-465D-AA9B-51C87DFC0A76}"/>
            </c:ext>
          </c:extLst>
        </c:ser>
        <c:ser>
          <c:idx val="1"/>
          <c:order val="1"/>
          <c:tx>
            <c:v>BS</c:v>
          </c:tx>
          <c:spPr>
            <a:ln w="19050" cap="rnd">
              <a:solidFill>
                <a:schemeClr val="accent2"/>
              </a:solidFill>
              <a:round/>
            </a:ln>
            <a:effectLst/>
          </c:spPr>
          <c:marker>
            <c:symbol val="none"/>
          </c:marker>
          <c:xVal>
            <c:numRef>
              <c:f>(Opt!$C$19,Opt!$CW$19)</c:f>
              <c:numCache>
                <c:formatCode>General</c:formatCode>
                <c:ptCount val="2"/>
                <c:pt idx="0">
                  <c:v>2</c:v>
                </c:pt>
                <c:pt idx="1">
                  <c:v>100</c:v>
                </c:pt>
              </c:numCache>
            </c:numRef>
          </c:xVal>
          <c:yVal>
            <c:numRef>
              <c:f>Opt!$CZ$7:$CZ$8</c:f>
              <c:numCache>
                <c:formatCode>0.0000</c:formatCode>
                <c:ptCount val="2"/>
                <c:pt idx="0">
                  <c:v>5.5735260222569707</c:v>
                </c:pt>
                <c:pt idx="1">
                  <c:v>5.5735260222569707</c:v>
                </c:pt>
              </c:numCache>
            </c:numRef>
          </c:yVal>
          <c:smooth val="1"/>
          <c:extLst>
            <c:ext xmlns:c16="http://schemas.microsoft.com/office/drawing/2014/chart" uri="{C3380CC4-5D6E-409C-BE32-E72D297353CC}">
              <c16:uniqueId val="{00000002-519C-465D-AA9B-51C87DFC0A76}"/>
            </c:ext>
          </c:extLst>
        </c:ser>
        <c:dLbls>
          <c:showLegendKey val="0"/>
          <c:showVal val="0"/>
          <c:showCatName val="0"/>
          <c:showSerName val="0"/>
          <c:showPercent val="0"/>
          <c:showBubbleSize val="0"/>
        </c:dLbls>
        <c:axId val="1834485855"/>
        <c:axId val="1834486335"/>
      </c:scatterChart>
      <c:valAx>
        <c:axId val="1834485855"/>
        <c:scaling>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4486335"/>
        <c:crosses val="autoZero"/>
        <c:crossBetween val="midCat"/>
      </c:valAx>
      <c:valAx>
        <c:axId val="1834486335"/>
        <c:scaling>
          <c:orientation val="minMax"/>
          <c:max val="6.1049635169400167"/>
          <c:min val="5.1758217325325138"/>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Prix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4485855"/>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aseline="0"/>
              <a:t>Call : </a:t>
            </a:r>
            <a:r>
              <a:rPr lang="el-GR" baseline="0">
                <a:latin typeface="Aptos Narrow" panose="020B0004020202020204" pitchFamily="34" charset="0"/>
              </a:rPr>
              <a:t>Δ</a:t>
            </a:r>
            <a:r>
              <a:rPr lang="en-GB" baseline="0"/>
              <a:t> en fonction de 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CRR</c:v>
          </c:tx>
          <c:spPr>
            <a:ln w="19050" cap="rnd">
              <a:solidFill>
                <a:srgbClr val="7030A0"/>
              </a:solidFill>
              <a:round/>
            </a:ln>
            <a:effectLst/>
          </c:spPr>
          <c:marker>
            <c:symbol val="none"/>
          </c:marker>
          <c:xVal>
            <c:numRef>
              <c:f>Opt!$C$19:$CW$19</c:f>
              <c:numCache>
                <c:formatCode>General</c:formatCode>
                <c:ptCount val="99"/>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numCache>
            </c:numRef>
          </c:xVal>
          <c:yVal>
            <c:numRef>
              <c:f>Opt!$C$71:$CW$71</c:f>
              <c:numCache>
                <c:formatCode>0.00000</c:formatCode>
                <c:ptCount val="99"/>
                <c:pt idx="0">
                  <c:v>0.62180345468609766</c:v>
                </c:pt>
                <c:pt idx="1">
                  <c:v>0.63488250628457576</c:v>
                </c:pt>
                <c:pt idx="2">
                  <c:v>0.62900495715893245</c:v>
                </c:pt>
                <c:pt idx="3">
                  <c:v>0.63592610109484426</c:v>
                </c:pt>
                <c:pt idx="4">
                  <c:v>0.6316020348841882</c:v>
                </c:pt>
                <c:pt idx="5">
                  <c:v>0.63629340998603379</c:v>
                </c:pt>
                <c:pt idx="6">
                  <c:v>0.63293405467420671</c:v>
                </c:pt>
                <c:pt idx="7">
                  <c:v>0.63647934061619371</c:v>
                </c:pt>
                <c:pt idx="8">
                  <c:v>0.63374316741690917</c:v>
                </c:pt>
                <c:pt idx="9">
                  <c:v>0.63659149415790339</c:v>
                </c:pt>
                <c:pt idx="10">
                  <c:v>0.63428647282397776</c:v>
                </c:pt>
                <c:pt idx="11">
                  <c:v>0.63666650144158898</c:v>
                </c:pt>
                <c:pt idx="12">
                  <c:v>0.63467637798699861</c:v>
                </c:pt>
                <c:pt idx="13">
                  <c:v>0.63672019803988389</c:v>
                </c:pt>
                <c:pt idx="14">
                  <c:v>0.63496977578479241</c:v>
                </c:pt>
                <c:pt idx="15">
                  <c:v>0.63676053942544086</c:v>
                </c:pt>
                <c:pt idx="16">
                  <c:v>0.63519853382741975</c:v>
                </c:pt>
                <c:pt idx="17">
                  <c:v>0.63679195913765596</c:v>
                </c:pt>
                <c:pt idx="18">
                  <c:v>0.63538188573712706</c:v>
                </c:pt>
                <c:pt idx="19">
                  <c:v>0.63681712344266572</c:v>
                </c:pt>
                <c:pt idx="20">
                  <c:v>0.63553212551621996</c:v>
                </c:pt>
                <c:pt idx="21">
                  <c:v>0.63683773215905615</c:v>
                </c:pt>
                <c:pt idx="22">
                  <c:v>0.63565747755695878</c:v>
                </c:pt>
                <c:pt idx="23">
                  <c:v>0.63685492021627921</c:v>
                </c:pt>
                <c:pt idx="24">
                  <c:v>0.63576365146216796</c:v>
                </c:pt>
                <c:pt idx="25">
                  <c:v>0.63686947434984664</c:v>
                </c:pt>
                <c:pt idx="26">
                  <c:v>0.63585473477892707</c:v>
                </c:pt>
                <c:pt idx="27">
                  <c:v>0.63688195714512597</c:v>
                </c:pt>
                <c:pt idx="28">
                  <c:v>0.63593373071410408</c:v>
                </c:pt>
                <c:pt idx="29">
                  <c:v>0.63689278157358498</c:v>
                </c:pt>
                <c:pt idx="30">
                  <c:v>0.63600289527930265</c:v>
                </c:pt>
                <c:pt idx="31">
                  <c:v>0.63690225763750286</c:v>
                </c:pt>
                <c:pt idx="32">
                  <c:v>0.63606395602720189</c:v>
                </c:pt>
                <c:pt idx="33">
                  <c:v>0.63691062258571696</c:v>
                </c:pt>
                <c:pt idx="34">
                  <c:v>0.63611825820749224</c:v>
                </c:pt>
                <c:pt idx="35">
                  <c:v>0.63691806107772908</c:v>
                </c:pt>
                <c:pt idx="36">
                  <c:v>0.6361668649639689</c:v>
                </c:pt>
                <c:pt idx="37">
                  <c:v>0.63692471899277492</c:v>
                </c:pt>
                <c:pt idx="38">
                  <c:v>0.63621062759197144</c:v>
                </c:pt>
                <c:pt idx="39">
                  <c:v>0.6369307131040558</c:v>
                </c:pt>
                <c:pt idx="40">
                  <c:v>0.63625023579711104</c:v>
                </c:pt>
                <c:pt idx="41">
                  <c:v>0.63693613799423565</c:v>
                </c:pt>
                <c:pt idx="42">
                  <c:v>0.63628625429548513</c:v>
                </c:pt>
                <c:pt idx="43">
                  <c:v>0.63692298064321218</c:v>
                </c:pt>
                <c:pt idx="44">
                  <c:v>0.63631914989767158</c:v>
                </c:pt>
                <c:pt idx="45">
                  <c:v>0.63687734328499701</c:v>
                </c:pt>
                <c:pt idx="46">
                  <c:v>0.63634931184329324</c:v>
                </c:pt>
                <c:pt idx="47">
                  <c:v>0.63683835692554436</c:v>
                </c:pt>
                <c:pt idx="48">
                  <c:v>0.63637706726996923</c:v>
                </c:pt>
                <c:pt idx="49">
                  <c:v>0.63680496881843585</c:v>
                </c:pt>
                <c:pt idx="50">
                  <c:v>0.63640269312263809</c:v>
                </c:pt>
                <c:pt idx="51">
                  <c:v>0.63677631883570096</c:v>
                </c:pt>
                <c:pt idx="52">
                  <c:v>0.63642642542377026</c:v>
                </c:pt>
                <c:pt idx="53">
                  <c:v>0.63675169922532582</c:v>
                </c:pt>
                <c:pt idx="54">
                  <c:v>0.63644846656226428</c:v>
                </c:pt>
                <c:pt idx="55">
                  <c:v>0.63673052379627604</c:v>
                </c:pt>
                <c:pt idx="56">
                  <c:v>0.63646899107804955</c:v>
                </c:pt>
                <c:pt idx="57">
                  <c:v>0.63671230409405499</c:v>
                </c:pt>
                <c:pt idx="58">
                  <c:v>0.63648815029269079</c:v>
                </c:pt>
                <c:pt idx="59">
                  <c:v>0.63669663081548311</c:v>
                </c:pt>
                <c:pt idx="60">
                  <c:v>0.63650607604572051</c:v>
                </c:pt>
                <c:pt idx="61">
                  <c:v>0.63668315919023599</c:v>
                </c:pt>
                <c:pt idx="62">
                  <c:v>0.63652288373204513</c:v>
                </c:pt>
                <c:pt idx="63">
                  <c:v>0.63667159739296564</c:v>
                </c:pt>
                <c:pt idx="64">
                  <c:v>0.63653867478824866</c:v>
                </c:pt>
                <c:pt idx="65">
                  <c:v>0.63666169729131539</c:v>
                </c:pt>
                <c:pt idx="66">
                  <c:v>0.63655353874116793</c:v>
                </c:pt>
                <c:pt idx="67">
                  <c:v>0.63665324700892301</c:v>
                </c:pt>
                <c:pt idx="68">
                  <c:v>0.63656755490581041</c:v>
                </c:pt>
                <c:pt idx="69">
                  <c:v>0.63664606490950215</c:v>
                </c:pt>
                <c:pt idx="70">
                  <c:v>0.63658079380096333</c:v>
                </c:pt>
                <c:pt idx="71">
                  <c:v>0.63663999470121446</c:v>
                </c:pt>
                <c:pt idx="72">
                  <c:v>0.63659331833576405</c:v>
                </c:pt>
                <c:pt idx="73">
                  <c:v>0.6366349014304139</c:v>
                </c:pt>
                <c:pt idx="74">
                  <c:v>0.63660518480896422</c:v>
                </c:pt>
                <c:pt idx="75">
                  <c:v>0.63663066818598335</c:v>
                </c:pt>
                <c:pt idx="76">
                  <c:v>0.63661644375510062</c:v>
                </c:pt>
                <c:pt idx="77">
                  <c:v>0.63662719337449958</c:v>
                </c:pt>
                <c:pt idx="78">
                  <c:v>0.63662714066373505</c:v>
                </c:pt>
                <c:pt idx="79">
                  <c:v>0.63662438845677738</c:v>
                </c:pt>
                <c:pt idx="80">
                  <c:v>0.63663731659362621</c:v>
                </c:pt>
                <c:pt idx="81">
                  <c:v>0.63662217605925819</c:v>
                </c:pt>
                <c:pt idx="82">
                  <c:v>0.63664700869942514</c:v>
                </c:pt>
                <c:pt idx="83">
                  <c:v>0.63662048839144325</c:v>
                </c:pt>
                <c:pt idx="84">
                  <c:v>0.63665625068485554</c:v>
                </c:pt>
                <c:pt idx="85">
                  <c:v>0.63661926591445228</c:v>
                </c:pt>
                <c:pt idx="86">
                  <c:v>0.6366650731943303</c:v>
                </c:pt>
                <c:pt idx="87">
                  <c:v>0.63661845621673252</c:v>
                </c:pt>
                <c:pt idx="88">
                  <c:v>0.63667350415230828</c:v>
                </c:pt>
                <c:pt idx="89">
                  <c:v>0.63661801306082411</c:v>
                </c:pt>
                <c:pt idx="90">
                  <c:v>0.63668156905857354</c:v>
                </c:pt>
                <c:pt idx="91">
                  <c:v>0.63661789557277604</c:v>
                </c:pt>
                <c:pt idx="92">
                  <c:v>0.63668929124574003</c:v>
                </c:pt>
                <c:pt idx="93">
                  <c:v>0.63661806755032413</c:v>
                </c:pt>
                <c:pt idx="94">
                  <c:v>0.63669669210468616</c:v>
                </c:pt>
                <c:pt idx="95">
                  <c:v>0.63661849687068606</c:v>
                </c:pt>
                <c:pt idx="96">
                  <c:v>0.63670379128250465</c:v>
                </c:pt>
                <c:pt idx="97">
                  <c:v>0.63661915498202881</c:v>
                </c:pt>
                <c:pt idx="98">
                  <c:v>0.6367106068565449</c:v>
                </c:pt>
              </c:numCache>
            </c:numRef>
          </c:yVal>
          <c:smooth val="1"/>
          <c:extLst>
            <c:ext xmlns:c16="http://schemas.microsoft.com/office/drawing/2014/chart" uri="{C3380CC4-5D6E-409C-BE32-E72D297353CC}">
              <c16:uniqueId val="{00000000-4C97-474C-BA84-D9DB502B9889}"/>
            </c:ext>
          </c:extLst>
        </c:ser>
        <c:ser>
          <c:idx val="1"/>
          <c:order val="1"/>
          <c:tx>
            <c:v>BS</c:v>
          </c:tx>
          <c:spPr>
            <a:ln w="19050" cap="rnd">
              <a:solidFill>
                <a:schemeClr val="accent2"/>
              </a:solidFill>
              <a:round/>
            </a:ln>
            <a:effectLst/>
          </c:spPr>
          <c:marker>
            <c:symbol val="none"/>
          </c:marker>
          <c:xVal>
            <c:numRef>
              <c:f>(Opt!$C$19,Opt!$CW$19)</c:f>
              <c:numCache>
                <c:formatCode>General</c:formatCode>
                <c:ptCount val="2"/>
                <c:pt idx="0">
                  <c:v>2</c:v>
                </c:pt>
                <c:pt idx="1">
                  <c:v>100</c:v>
                </c:pt>
              </c:numCache>
            </c:numRef>
          </c:xVal>
          <c:yVal>
            <c:numRef>
              <c:f>Opt!$AD$64:$AD$65</c:f>
              <c:numCache>
                <c:formatCode>0.00000</c:formatCode>
                <c:ptCount val="2"/>
                <c:pt idx="0">
                  <c:v>0.6368306511756191</c:v>
                </c:pt>
                <c:pt idx="1">
                  <c:v>0.6368306511756191</c:v>
                </c:pt>
              </c:numCache>
            </c:numRef>
          </c:yVal>
          <c:smooth val="1"/>
          <c:extLst>
            <c:ext xmlns:c16="http://schemas.microsoft.com/office/drawing/2014/chart" uri="{C3380CC4-5D6E-409C-BE32-E72D297353CC}">
              <c16:uniqueId val="{00000001-4C97-474C-BA84-D9DB502B9889}"/>
            </c:ext>
          </c:extLst>
        </c:ser>
        <c:dLbls>
          <c:showLegendKey val="0"/>
          <c:showVal val="0"/>
          <c:showCatName val="0"/>
          <c:showSerName val="0"/>
          <c:showPercent val="0"/>
          <c:showBubbleSize val="0"/>
        </c:dLbls>
        <c:axId val="1171083999"/>
        <c:axId val="758543631"/>
      </c:scatterChart>
      <c:valAx>
        <c:axId val="1171083999"/>
        <c:scaling>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543631"/>
        <c:crosses val="autoZero"/>
        <c:crossBetween val="midCat"/>
      </c:valAx>
      <c:valAx>
        <c:axId val="758543631"/>
        <c:scaling>
          <c:orientation val="minMax"/>
          <c:max val="0.6376927721596426"/>
          <c:min val="0.6210468205206907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latin typeface="Aptos Narrow" panose="020B0004020202020204" pitchFamily="34" charset="0"/>
                  </a:rPr>
                  <a:t>Δ</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08399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aseline="0"/>
              <a:t>Put : </a:t>
            </a:r>
            <a:r>
              <a:rPr lang="el-GR" baseline="0">
                <a:latin typeface="Aptos Narrow" panose="020B0004020202020204" pitchFamily="34" charset="0"/>
              </a:rPr>
              <a:t>Δ</a:t>
            </a:r>
            <a:r>
              <a:rPr lang="en-GB" baseline="0"/>
              <a:t> en fonction de 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CRR</c:v>
          </c:tx>
          <c:spPr>
            <a:ln w="19050" cap="rnd">
              <a:solidFill>
                <a:srgbClr val="7030A0"/>
              </a:solidFill>
              <a:round/>
            </a:ln>
            <a:effectLst/>
          </c:spPr>
          <c:marker>
            <c:symbol val="none"/>
          </c:marker>
          <c:xVal>
            <c:numRef>
              <c:f>Opt!$C$19:$CW$19</c:f>
              <c:numCache>
                <c:formatCode>General</c:formatCode>
                <c:ptCount val="99"/>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numCache>
            </c:numRef>
          </c:xVal>
          <c:yVal>
            <c:numRef>
              <c:f>Opt!$C$73:$CW$73</c:f>
              <c:numCache>
                <c:formatCode>0.00000</c:formatCode>
                <c:ptCount val="99"/>
                <c:pt idx="0">
                  <c:v>-0.37819654531390279</c:v>
                </c:pt>
                <c:pt idx="1">
                  <c:v>-0.36511749371542418</c:v>
                </c:pt>
                <c:pt idx="2">
                  <c:v>-0.3709950428410681</c:v>
                </c:pt>
                <c:pt idx="3">
                  <c:v>-0.36407389890515557</c:v>
                </c:pt>
                <c:pt idx="4">
                  <c:v>-0.36839796511581163</c:v>
                </c:pt>
                <c:pt idx="5">
                  <c:v>-0.3637065900139656</c:v>
                </c:pt>
                <c:pt idx="6">
                  <c:v>-0.36706594532579145</c:v>
                </c:pt>
                <c:pt idx="7">
                  <c:v>-0.36352065938380668</c:v>
                </c:pt>
                <c:pt idx="8">
                  <c:v>-0.36625683258309227</c:v>
                </c:pt>
                <c:pt idx="9">
                  <c:v>-0.36340850584209478</c:v>
                </c:pt>
                <c:pt idx="10">
                  <c:v>-0.36571352717602129</c:v>
                </c:pt>
                <c:pt idx="11">
                  <c:v>-0.36333349855841002</c:v>
                </c:pt>
                <c:pt idx="12">
                  <c:v>-0.36532362201300034</c:v>
                </c:pt>
                <c:pt idx="13">
                  <c:v>-0.36327980196011567</c:v>
                </c:pt>
                <c:pt idx="14">
                  <c:v>-0.36503022421520742</c:v>
                </c:pt>
                <c:pt idx="15">
                  <c:v>-0.36323946057455975</c:v>
                </c:pt>
                <c:pt idx="16">
                  <c:v>-0.36480146617258113</c:v>
                </c:pt>
                <c:pt idx="17">
                  <c:v>-0.36320804086234865</c:v>
                </c:pt>
                <c:pt idx="18">
                  <c:v>-0.36461811426287261</c:v>
                </c:pt>
                <c:pt idx="19">
                  <c:v>-0.36318287655733333</c:v>
                </c:pt>
                <c:pt idx="20">
                  <c:v>-0.36446787448378193</c:v>
                </c:pt>
                <c:pt idx="21">
                  <c:v>-0.36316226784094174</c:v>
                </c:pt>
                <c:pt idx="22">
                  <c:v>-0.36434252244303916</c:v>
                </c:pt>
                <c:pt idx="23">
                  <c:v>-0.36314507978372024</c:v>
                </c:pt>
                <c:pt idx="24">
                  <c:v>-0.36423634853783449</c:v>
                </c:pt>
                <c:pt idx="25">
                  <c:v>-0.36313052565015375</c:v>
                </c:pt>
                <c:pt idx="26">
                  <c:v>-0.36414526522107082</c:v>
                </c:pt>
                <c:pt idx="27">
                  <c:v>-0.36311804285487614</c:v>
                </c:pt>
                <c:pt idx="28">
                  <c:v>-0.36406626928589642</c:v>
                </c:pt>
                <c:pt idx="29">
                  <c:v>-0.36310721842641097</c:v>
                </c:pt>
                <c:pt idx="30">
                  <c:v>-0.36399710472070018</c:v>
                </c:pt>
                <c:pt idx="31">
                  <c:v>-0.36309774236249642</c:v>
                </c:pt>
                <c:pt idx="32">
                  <c:v>-0.36393604397279838</c:v>
                </c:pt>
                <c:pt idx="33">
                  <c:v>-0.36308937741428493</c:v>
                </c:pt>
                <c:pt idx="34">
                  <c:v>-0.36388174179250998</c:v>
                </c:pt>
                <c:pt idx="35">
                  <c:v>-0.36308193892226609</c:v>
                </c:pt>
                <c:pt idx="36">
                  <c:v>-0.36383313503603221</c:v>
                </c:pt>
                <c:pt idx="37">
                  <c:v>-0.3630752810072233</c:v>
                </c:pt>
                <c:pt idx="38">
                  <c:v>-0.36378937240802922</c:v>
                </c:pt>
                <c:pt idx="39">
                  <c:v>-0.36306928689594364</c:v>
                </c:pt>
                <c:pt idx="40">
                  <c:v>-0.36374976420288252</c:v>
                </c:pt>
                <c:pt idx="41">
                  <c:v>-0.36306386200577184</c:v>
                </c:pt>
                <c:pt idx="42">
                  <c:v>-0.36371374570451337</c:v>
                </c:pt>
                <c:pt idx="43">
                  <c:v>-0.36307701935679004</c:v>
                </c:pt>
                <c:pt idx="44">
                  <c:v>-0.3636808501023352</c:v>
                </c:pt>
                <c:pt idx="45">
                  <c:v>-0.36312265671500188</c:v>
                </c:pt>
                <c:pt idx="46">
                  <c:v>-0.36365068815670765</c:v>
                </c:pt>
                <c:pt idx="47">
                  <c:v>-0.36316164307445847</c:v>
                </c:pt>
                <c:pt idx="48">
                  <c:v>-0.36362293273003765</c:v>
                </c:pt>
                <c:pt idx="49">
                  <c:v>-0.36319503118156066</c:v>
                </c:pt>
                <c:pt idx="50">
                  <c:v>-0.36359730687736574</c:v>
                </c:pt>
                <c:pt idx="51">
                  <c:v>-0.36322368116429554</c:v>
                </c:pt>
                <c:pt idx="52">
                  <c:v>-0.36357357457622891</c:v>
                </c:pt>
                <c:pt idx="53">
                  <c:v>-0.36324830077467812</c:v>
                </c:pt>
                <c:pt idx="54">
                  <c:v>-0.36355153343772945</c:v>
                </c:pt>
                <c:pt idx="55">
                  <c:v>-0.36326947620372496</c:v>
                </c:pt>
                <c:pt idx="56">
                  <c:v>-0.36353100892195095</c:v>
                </c:pt>
                <c:pt idx="57">
                  <c:v>-0.3632876959059464</c:v>
                </c:pt>
                <c:pt idx="58">
                  <c:v>-0.3635118497073126</c:v>
                </c:pt>
                <c:pt idx="59">
                  <c:v>-0.36330336918452122</c:v>
                </c:pt>
                <c:pt idx="60">
                  <c:v>-0.36349392395428476</c:v>
                </c:pt>
                <c:pt idx="61">
                  <c:v>-0.36331684080975857</c:v>
                </c:pt>
                <c:pt idx="62">
                  <c:v>-0.36347711626795703</c:v>
                </c:pt>
                <c:pt idx="63">
                  <c:v>-0.36332840260702454</c:v>
                </c:pt>
                <c:pt idx="64">
                  <c:v>-0.36346132521174868</c:v>
                </c:pt>
                <c:pt idx="65">
                  <c:v>-0.36333830270868939</c:v>
                </c:pt>
                <c:pt idx="66">
                  <c:v>-0.36344646125882896</c:v>
                </c:pt>
                <c:pt idx="67">
                  <c:v>-0.36334675299107821</c:v>
                </c:pt>
                <c:pt idx="68">
                  <c:v>-0.36343244509419392</c:v>
                </c:pt>
                <c:pt idx="69">
                  <c:v>-0.3633539350904878</c:v>
                </c:pt>
                <c:pt idx="70">
                  <c:v>-0.36341920619902568</c:v>
                </c:pt>
                <c:pt idx="71">
                  <c:v>-0.36336000529878737</c:v>
                </c:pt>
                <c:pt idx="72">
                  <c:v>-0.36340668166424106</c:v>
                </c:pt>
                <c:pt idx="73">
                  <c:v>-0.36336509856959415</c:v>
                </c:pt>
                <c:pt idx="74">
                  <c:v>-0.36339481519103844</c:v>
                </c:pt>
                <c:pt idx="75">
                  <c:v>-0.36336933181402287</c:v>
                </c:pt>
                <c:pt idx="76">
                  <c:v>-0.36338355624489332</c:v>
                </c:pt>
                <c:pt idx="77">
                  <c:v>-0.36337280662550109</c:v>
                </c:pt>
                <c:pt idx="78">
                  <c:v>-0.36337285933625579</c:v>
                </c:pt>
                <c:pt idx="79">
                  <c:v>-0.36337561154321724</c:v>
                </c:pt>
                <c:pt idx="80">
                  <c:v>-0.36336268340637345</c:v>
                </c:pt>
                <c:pt idx="81">
                  <c:v>-0.36337782394074486</c:v>
                </c:pt>
                <c:pt idx="82">
                  <c:v>-0.36335299130057774</c:v>
                </c:pt>
                <c:pt idx="83">
                  <c:v>-0.36337951160857496</c:v>
                </c:pt>
                <c:pt idx="84">
                  <c:v>-0.36334374931514302</c:v>
                </c:pt>
                <c:pt idx="85">
                  <c:v>-0.36338073408554539</c:v>
                </c:pt>
                <c:pt idx="86">
                  <c:v>-0.3633349268056757</c:v>
                </c:pt>
                <c:pt idx="87">
                  <c:v>-0.36338154378326837</c:v>
                </c:pt>
                <c:pt idx="88">
                  <c:v>-0.36332649584768162</c:v>
                </c:pt>
                <c:pt idx="89">
                  <c:v>-0.36338198693917528</c:v>
                </c:pt>
                <c:pt idx="90">
                  <c:v>-0.3633184309414258</c:v>
                </c:pt>
                <c:pt idx="91">
                  <c:v>-0.36338210442722801</c:v>
                </c:pt>
                <c:pt idx="92">
                  <c:v>-0.36331070875427096</c:v>
                </c:pt>
                <c:pt idx="93">
                  <c:v>-0.36338193244967493</c:v>
                </c:pt>
                <c:pt idx="94">
                  <c:v>-0.36330330789531318</c:v>
                </c:pt>
                <c:pt idx="95">
                  <c:v>-0.36338150312931922</c:v>
                </c:pt>
                <c:pt idx="96">
                  <c:v>-0.36329620871748963</c:v>
                </c:pt>
                <c:pt idx="97">
                  <c:v>-0.36338084501797052</c:v>
                </c:pt>
                <c:pt idx="98">
                  <c:v>-0.36328939314345376</c:v>
                </c:pt>
              </c:numCache>
            </c:numRef>
          </c:yVal>
          <c:smooth val="1"/>
          <c:extLst>
            <c:ext xmlns:c16="http://schemas.microsoft.com/office/drawing/2014/chart" uri="{C3380CC4-5D6E-409C-BE32-E72D297353CC}">
              <c16:uniqueId val="{00000000-A11D-453F-9CA1-AD590A54CD03}"/>
            </c:ext>
          </c:extLst>
        </c:ser>
        <c:ser>
          <c:idx val="1"/>
          <c:order val="1"/>
          <c:tx>
            <c:v>BS</c:v>
          </c:tx>
          <c:spPr>
            <a:ln w="19050" cap="rnd">
              <a:solidFill>
                <a:schemeClr val="accent2"/>
              </a:solidFill>
              <a:round/>
            </a:ln>
            <a:effectLst/>
          </c:spPr>
          <c:marker>
            <c:symbol val="none"/>
          </c:marker>
          <c:xVal>
            <c:numRef>
              <c:f>(Opt!$C$19,Opt!$CW$19)</c:f>
              <c:numCache>
                <c:formatCode>General</c:formatCode>
                <c:ptCount val="2"/>
                <c:pt idx="0">
                  <c:v>2</c:v>
                </c:pt>
                <c:pt idx="1">
                  <c:v>100</c:v>
                </c:pt>
              </c:numCache>
            </c:numRef>
          </c:xVal>
          <c:yVal>
            <c:numRef>
              <c:f>Opt!$AE$64:$AE$65</c:f>
              <c:numCache>
                <c:formatCode>0.00000</c:formatCode>
                <c:ptCount val="2"/>
                <c:pt idx="0">
                  <c:v>-0.3631693488243809</c:v>
                </c:pt>
                <c:pt idx="1">
                  <c:v>-0.3631693488243809</c:v>
                </c:pt>
              </c:numCache>
            </c:numRef>
          </c:yVal>
          <c:smooth val="1"/>
          <c:extLst>
            <c:ext xmlns:c16="http://schemas.microsoft.com/office/drawing/2014/chart" uri="{C3380CC4-5D6E-409C-BE32-E72D297353CC}">
              <c16:uniqueId val="{00000001-A11D-453F-9CA1-AD590A54CD03}"/>
            </c:ext>
          </c:extLst>
        </c:ser>
        <c:dLbls>
          <c:showLegendKey val="0"/>
          <c:showVal val="0"/>
          <c:showCatName val="0"/>
          <c:showSerName val="0"/>
          <c:showPercent val="0"/>
          <c:showBubbleSize val="0"/>
        </c:dLbls>
        <c:axId val="1171083999"/>
        <c:axId val="758543631"/>
      </c:scatterChart>
      <c:valAx>
        <c:axId val="1171083999"/>
        <c:scaling>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543631"/>
        <c:crosses val="autoZero"/>
        <c:crossBetween val="midCat"/>
      </c:valAx>
      <c:valAx>
        <c:axId val="758543631"/>
        <c:scaling>
          <c:orientation val="minMax"/>
          <c:max val="-0.36230722784036529"/>
          <c:min val="-0.3789531794793093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latin typeface="Aptos Narrow" panose="020B0004020202020204" pitchFamily="34" charset="0"/>
                  </a:rPr>
                  <a:t>Δ</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08399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Call</a:t>
            </a:r>
            <a:r>
              <a:rPr lang="en-GB" baseline="0"/>
              <a:t> : </a:t>
            </a:r>
            <a:r>
              <a:rPr lang="en-GB" sz="1400" b="0" i="0" u="none" strike="noStrike" baseline="0"/>
              <a:t>Ordre de convergence O(1/N) du prix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log|PrixCRR-PrixBS|</c:v>
          </c:tx>
          <c:spPr>
            <a:ln w="19050" cap="rnd">
              <a:solidFill>
                <a:srgbClr val="4EA72E">
                  <a:lumMod val="75000"/>
                </a:srgbClr>
              </a:solidFill>
              <a:round/>
            </a:ln>
            <a:effectLst/>
          </c:spPr>
          <c:marker>
            <c:symbol val="none"/>
          </c:marker>
          <c:trendline>
            <c:name>Droite de régression (pente~-1)</c:name>
            <c:spPr>
              <a:ln w="19050" cap="rnd">
                <a:solidFill>
                  <a:srgbClr val="4EA72E">
                    <a:lumMod val="75000"/>
                  </a:srgbClr>
                </a:solidFill>
                <a:prstDash val="sysDot"/>
              </a:ln>
              <a:effectLst/>
            </c:spPr>
            <c:trendlineType val="linear"/>
            <c:dispRSqr val="0"/>
            <c:dispEq val="1"/>
            <c:trendlineLbl>
              <c:layout>
                <c:manualLayout>
                  <c:x val="-0.14476354232799532"/>
                  <c:y val="-4.4898666954796412E-2"/>
                </c:manualLayout>
              </c:layout>
              <c:numFmt formatCode="General" sourceLinked="0"/>
              <c:spPr>
                <a:noFill/>
                <a:ln>
                  <a:noFill/>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Opt!$C$45:$CW$45</c:f>
              <c:numCache>
                <c:formatCode>0.0000</c:formatCode>
                <c:ptCount val="99"/>
                <c:pt idx="0">
                  <c:v>0.3010299956639812</c:v>
                </c:pt>
                <c:pt idx="1">
                  <c:v>0.47712125471966244</c:v>
                </c:pt>
                <c:pt idx="2">
                  <c:v>0.6020599913279624</c:v>
                </c:pt>
                <c:pt idx="3">
                  <c:v>0.69897000433601886</c:v>
                </c:pt>
                <c:pt idx="4">
                  <c:v>0.77815125038364363</c:v>
                </c:pt>
                <c:pt idx="5">
                  <c:v>0.84509804001425681</c:v>
                </c:pt>
                <c:pt idx="6">
                  <c:v>0.90308998699194354</c:v>
                </c:pt>
                <c:pt idx="7">
                  <c:v>0.95424250943932487</c:v>
                </c:pt>
                <c:pt idx="8">
                  <c:v>1</c:v>
                </c:pt>
                <c:pt idx="9">
                  <c:v>1.0413926851582251</c:v>
                </c:pt>
                <c:pt idx="10">
                  <c:v>1.0791812460476249</c:v>
                </c:pt>
                <c:pt idx="11">
                  <c:v>1.1139433523068367</c:v>
                </c:pt>
                <c:pt idx="12">
                  <c:v>1.146128035678238</c:v>
                </c:pt>
                <c:pt idx="13">
                  <c:v>1.1760912590556813</c:v>
                </c:pt>
                <c:pt idx="14">
                  <c:v>1.2041199826559248</c:v>
                </c:pt>
                <c:pt idx="15">
                  <c:v>1.2304489213782739</c:v>
                </c:pt>
                <c:pt idx="16">
                  <c:v>1.255272505103306</c:v>
                </c:pt>
                <c:pt idx="17">
                  <c:v>1.2787536009528289</c:v>
                </c:pt>
                <c:pt idx="18">
                  <c:v>1.3010299956639813</c:v>
                </c:pt>
                <c:pt idx="19">
                  <c:v>1.3222192947339193</c:v>
                </c:pt>
                <c:pt idx="20">
                  <c:v>1.3424226808222062</c:v>
                </c:pt>
                <c:pt idx="21">
                  <c:v>1.3617278360175928</c:v>
                </c:pt>
                <c:pt idx="22">
                  <c:v>1.3802112417116059</c:v>
                </c:pt>
                <c:pt idx="23">
                  <c:v>1.3979400086720377</c:v>
                </c:pt>
                <c:pt idx="24">
                  <c:v>1.414973347970818</c:v>
                </c:pt>
                <c:pt idx="25">
                  <c:v>1.4313637641589874</c:v>
                </c:pt>
                <c:pt idx="26">
                  <c:v>1.4471580313422192</c:v>
                </c:pt>
                <c:pt idx="27">
                  <c:v>1.4623979978989561</c:v>
                </c:pt>
                <c:pt idx="28">
                  <c:v>1.4771212547196624</c:v>
                </c:pt>
                <c:pt idx="29">
                  <c:v>1.4913616938342726</c:v>
                </c:pt>
                <c:pt idx="30">
                  <c:v>1.505149978319906</c:v>
                </c:pt>
                <c:pt idx="31">
                  <c:v>1.5185139398778875</c:v>
                </c:pt>
                <c:pt idx="32">
                  <c:v>1.5314789170422551</c:v>
                </c:pt>
                <c:pt idx="33">
                  <c:v>1.5440680443502757</c:v>
                </c:pt>
                <c:pt idx="34">
                  <c:v>1.5563025007672873</c:v>
                </c:pt>
                <c:pt idx="35">
                  <c:v>1.568201724066995</c:v>
                </c:pt>
                <c:pt idx="36">
                  <c:v>1.5797835966168101</c:v>
                </c:pt>
                <c:pt idx="37">
                  <c:v>1.5910646070264991</c:v>
                </c:pt>
                <c:pt idx="38">
                  <c:v>1.6020599913279623</c:v>
                </c:pt>
                <c:pt idx="39">
                  <c:v>1.6127838567197355</c:v>
                </c:pt>
                <c:pt idx="40">
                  <c:v>1.6232492903979006</c:v>
                </c:pt>
                <c:pt idx="41">
                  <c:v>1.6334684555795864</c:v>
                </c:pt>
                <c:pt idx="42">
                  <c:v>1.6434526764861874</c:v>
                </c:pt>
                <c:pt idx="43">
                  <c:v>1.6532125137753437</c:v>
                </c:pt>
                <c:pt idx="44">
                  <c:v>1.6627578316815741</c:v>
                </c:pt>
                <c:pt idx="45">
                  <c:v>1.6720978579357175</c:v>
                </c:pt>
                <c:pt idx="46">
                  <c:v>1.6812412373755872</c:v>
                </c:pt>
                <c:pt idx="47">
                  <c:v>1.6901960800285136</c:v>
                </c:pt>
                <c:pt idx="48">
                  <c:v>1.6989700043360187</c:v>
                </c:pt>
                <c:pt idx="49">
                  <c:v>1.7075701760979363</c:v>
                </c:pt>
                <c:pt idx="50">
                  <c:v>1.7160033436347992</c:v>
                </c:pt>
                <c:pt idx="51">
                  <c:v>1.7242758696007889</c:v>
                </c:pt>
                <c:pt idx="52">
                  <c:v>1.7323937598229686</c:v>
                </c:pt>
                <c:pt idx="53">
                  <c:v>1.7403626894942439</c:v>
                </c:pt>
                <c:pt idx="54">
                  <c:v>1.7481880270062005</c:v>
                </c:pt>
                <c:pt idx="55">
                  <c:v>1.7558748556724915</c:v>
                </c:pt>
                <c:pt idx="56">
                  <c:v>1.7634279935629373</c:v>
                </c:pt>
                <c:pt idx="57">
                  <c:v>1.7708520116421442</c:v>
                </c:pt>
                <c:pt idx="58">
                  <c:v>1.7781512503836436</c:v>
                </c:pt>
                <c:pt idx="59">
                  <c:v>1.7853298350107671</c:v>
                </c:pt>
                <c:pt idx="60">
                  <c:v>1.7923916894982539</c:v>
                </c:pt>
                <c:pt idx="61">
                  <c:v>1.7993405494535817</c:v>
                </c:pt>
                <c:pt idx="62">
                  <c:v>1.8061799739838871</c:v>
                </c:pt>
                <c:pt idx="63">
                  <c:v>1.8129133566428555</c:v>
                </c:pt>
                <c:pt idx="64">
                  <c:v>1.8195439355418688</c:v>
                </c:pt>
                <c:pt idx="65">
                  <c:v>1.8260748027008264</c:v>
                </c:pt>
                <c:pt idx="66">
                  <c:v>1.8325089127062364</c:v>
                </c:pt>
                <c:pt idx="67">
                  <c:v>1.8388490907372552</c:v>
                </c:pt>
                <c:pt idx="68">
                  <c:v>1.8450980400142569</c:v>
                </c:pt>
                <c:pt idx="69">
                  <c:v>1.8512583487190752</c:v>
                </c:pt>
                <c:pt idx="70">
                  <c:v>1.8573324964312685</c:v>
                </c:pt>
                <c:pt idx="71">
                  <c:v>1.8633228601204559</c:v>
                </c:pt>
                <c:pt idx="72">
                  <c:v>1.8692317197309762</c:v>
                </c:pt>
                <c:pt idx="73">
                  <c:v>1.8750612633917001</c:v>
                </c:pt>
                <c:pt idx="74">
                  <c:v>1.8808135922807914</c:v>
                </c:pt>
                <c:pt idx="75">
                  <c:v>1.8864907251724818</c:v>
                </c:pt>
                <c:pt idx="76">
                  <c:v>1.8920946026904804</c:v>
                </c:pt>
                <c:pt idx="77">
                  <c:v>1.8976270912904414</c:v>
                </c:pt>
                <c:pt idx="78">
                  <c:v>1.9030899869919435</c:v>
                </c:pt>
                <c:pt idx="79">
                  <c:v>1.9084850188786497</c:v>
                </c:pt>
                <c:pt idx="80">
                  <c:v>1.9138138523837167</c:v>
                </c:pt>
                <c:pt idx="81">
                  <c:v>1.919078092376074</c:v>
                </c:pt>
                <c:pt idx="82">
                  <c:v>1.9242792860618816</c:v>
                </c:pt>
                <c:pt idx="83">
                  <c:v>1.9294189257142926</c:v>
                </c:pt>
                <c:pt idx="84">
                  <c:v>1.9344984512435677</c:v>
                </c:pt>
                <c:pt idx="85">
                  <c:v>1.9395192526186185</c:v>
                </c:pt>
                <c:pt idx="86">
                  <c:v>1.9444826721501687</c:v>
                </c:pt>
                <c:pt idx="87">
                  <c:v>1.9493900066449128</c:v>
                </c:pt>
                <c:pt idx="88">
                  <c:v>1.954242509439325</c:v>
                </c:pt>
                <c:pt idx="89">
                  <c:v>1.9590413923210936</c:v>
                </c:pt>
                <c:pt idx="90">
                  <c:v>1.9637878273455553</c:v>
                </c:pt>
                <c:pt idx="91">
                  <c:v>1.968482948553935</c:v>
                </c:pt>
                <c:pt idx="92">
                  <c:v>1.9731278535996986</c:v>
                </c:pt>
                <c:pt idx="93">
                  <c:v>1.9777236052888478</c:v>
                </c:pt>
                <c:pt idx="94">
                  <c:v>1.9822712330395684</c:v>
                </c:pt>
                <c:pt idx="95">
                  <c:v>1.9867717342662448</c:v>
                </c:pt>
                <c:pt idx="96">
                  <c:v>1.9912260756924949</c:v>
                </c:pt>
                <c:pt idx="97">
                  <c:v>1.9956351945975499</c:v>
                </c:pt>
                <c:pt idx="98">
                  <c:v>2</c:v>
                </c:pt>
              </c:numCache>
            </c:numRef>
          </c:xVal>
          <c:yVal>
            <c:numRef>
              <c:f>Opt!$C$47:$CW$47</c:f>
              <c:numCache>
                <c:formatCode>0.0000</c:formatCode>
                <c:ptCount val="99"/>
                <c:pt idx="0">
                  <c:v>-0.38303350007297976</c:v>
                </c:pt>
                <c:pt idx="1">
                  <c:v>-0.34679125845832098</c:v>
                </c:pt>
                <c:pt idx="2">
                  <c:v>-1.0062581830175319</c:v>
                </c:pt>
                <c:pt idx="3">
                  <c:v>-0.628820070509856</c:v>
                </c:pt>
                <c:pt idx="4">
                  <c:v>-1.9991592288273088</c:v>
                </c:pt>
                <c:pt idx="5">
                  <c:v>-0.84546962256751035</c:v>
                </c:pt>
                <c:pt idx="6">
                  <c:v>-1.5960288604227888</c:v>
                </c:pt>
                <c:pt idx="7">
                  <c:v>-1.0383601030971399</c:v>
                </c:pt>
                <c:pt idx="8">
                  <c:v>-1.3804239799709219</c:v>
                </c:pt>
                <c:pt idx="9">
                  <c:v>-1.2288323228095843</c:v>
                </c:pt>
                <c:pt idx="10">
                  <c:v>-1.3053502184434598</c:v>
                </c:pt>
                <c:pt idx="11">
                  <c:v>-1.4367220811032357</c:v>
                </c:pt>
                <c:pt idx="12">
                  <c:v>-1.2745979283374114</c:v>
                </c:pt>
                <c:pt idx="13">
                  <c:v>-1.6959921492410392</c:v>
                </c:pt>
                <c:pt idx="14">
                  <c:v>-1.2637713621644822</c:v>
                </c:pt>
                <c:pt idx="15">
                  <c:v>-2.1204594649405952</c:v>
                </c:pt>
                <c:pt idx="16">
                  <c:v>-1.263500821990359</c:v>
                </c:pt>
                <c:pt idx="17">
                  <c:v>-2.6331137424349387</c:v>
                </c:pt>
                <c:pt idx="18">
                  <c:v>-1.2693995958892423</c:v>
                </c:pt>
                <c:pt idx="19">
                  <c:v>-1.9855248829168284</c:v>
                </c:pt>
                <c:pt idx="20">
                  <c:v>-1.2791522066511163</c:v>
                </c:pt>
                <c:pt idx="21">
                  <c:v>-1.7707766915972742</c:v>
                </c:pt>
                <c:pt idx="22">
                  <c:v>-1.2914334731230919</c:v>
                </c:pt>
                <c:pt idx="23">
                  <c:v>-1.6477484733912771</c:v>
                </c:pt>
                <c:pt idx="24">
                  <c:v>-1.3054398503278859</c:v>
                </c:pt>
                <c:pt idx="25">
                  <c:v>-1.5649528125739729</c:v>
                </c:pt>
                <c:pt idx="26">
                  <c:v>-1.320662971222518</c:v>
                </c:pt>
                <c:pt idx="27">
                  <c:v>-1.5044215746970622</c:v>
                </c:pt>
                <c:pt idx="28">
                  <c:v>-1.3367710309391738</c:v>
                </c:pt>
                <c:pt idx="29">
                  <c:v>-1.4578230235145766</c:v>
                </c:pt>
                <c:pt idx="30">
                  <c:v>-1.3535426451582071</c:v>
                </c:pt>
                <c:pt idx="31">
                  <c:v>-1.4206457317481449</c:v>
                </c:pt>
                <c:pt idx="32">
                  <c:v>-1.3708280775353148</c:v>
                </c:pt>
                <c:pt idx="33">
                  <c:v>-1.3901913123058394</c:v>
                </c:pt>
                <c:pt idx="34">
                  <c:v>-1.38852556515689</c:v>
                </c:pt>
                <c:pt idx="35">
                  <c:v>-1.3647290395125227</c:v>
                </c:pt>
                <c:pt idx="36">
                  <c:v>-1.4065663680771066</c:v>
                </c:pt>
                <c:pt idx="37">
                  <c:v>-1.3430895957512923</c:v>
                </c:pt>
                <c:pt idx="38">
                  <c:v>-1.4249050610961935</c:v>
                </c:pt>
                <c:pt idx="39">
                  <c:v>-1.3244504312190357</c:v>
                </c:pt>
                <c:pt idx="40">
                  <c:v>-1.4435130836304542</c:v>
                </c:pt>
                <c:pt idx="41">
                  <c:v>-1.3082139225038794</c:v>
                </c:pt>
                <c:pt idx="42">
                  <c:v>-1.462374375255606</c:v>
                </c:pt>
                <c:pt idx="43">
                  <c:v>-1.3151613648665115</c:v>
                </c:pt>
                <c:pt idx="44">
                  <c:v>-1.4814823826151662</c:v>
                </c:pt>
                <c:pt idx="45">
                  <c:v>-1.3667168338546485</c:v>
                </c:pt>
                <c:pt idx="46">
                  <c:v>-1.5008379905377802</c:v>
                </c:pt>
                <c:pt idx="47">
                  <c:v>-1.4186769382560249</c:v>
                </c:pt>
                <c:pt idx="48">
                  <c:v>-1.5204480913355598</c:v>
                </c:pt>
                <c:pt idx="49">
                  <c:v>-1.471271070751228</c:v>
                </c:pt>
                <c:pt idx="50">
                  <c:v>-1.5403246058849773</c:v>
                </c:pt>
                <c:pt idx="51">
                  <c:v>-1.5247510894376783</c:v>
                </c:pt>
                <c:pt idx="52">
                  <c:v>-1.5604838333116788</c:v>
                </c:pt>
                <c:pt idx="53">
                  <c:v>-1.5794007222248283</c:v>
                </c:pt>
                <c:pt idx="54">
                  <c:v>-1.5809460475489421</c:v>
                </c:pt>
                <c:pt idx="55">
                  <c:v>-1.6355478094989739</c:v>
                </c:pt>
                <c:pt idx="56">
                  <c:v>-1.6017352866906658</c:v>
                </c:pt>
                <c:pt idx="57">
                  <c:v>-1.6935808654911688</c:v>
                </c:pt>
                <c:pt idx="58">
                  <c:v>-1.6228793001085684</c:v>
                </c:pt>
                <c:pt idx="59">
                  <c:v>-1.7539722970088119</c:v>
                </c:pt>
                <c:pt idx="60">
                  <c:v>-1.6444096324257422</c:v>
                </c:pt>
                <c:pt idx="61">
                  <c:v>-1.8173121328501134</c:v>
                </c:pt>
                <c:pt idx="62">
                  <c:v>-1.6663618337318624</c:v>
                </c:pt>
                <c:pt idx="63">
                  <c:v>-1.8843588978585704</c:v>
                </c:pt>
                <c:pt idx="64">
                  <c:v>-1.6887757943201369</c:v>
                </c:pt>
                <c:pt idx="65">
                  <c:v>-1.9561196371720959</c:v>
                </c:pt>
                <c:pt idx="66">
                  <c:v>-1.7116962099279138</c:v>
                </c:pt>
                <c:pt idx="67">
                  <c:v>-2.0339821224199133</c:v>
                </c:pt>
                <c:pt idx="68">
                  <c:v>-1.7351731916202933</c:v>
                </c:pt>
                <c:pt idx="69">
                  <c:v>-2.1199466720088918</c:v>
                </c:pt>
                <c:pt idx="70">
                  <c:v>-1.7592630426975386</c:v>
                </c:pt>
                <c:pt idx="71">
                  <c:v>-2.2170643463858908</c:v>
                </c:pt>
                <c:pt idx="72">
                  <c:v>-1.7840292356195218</c:v>
                </c:pt>
                <c:pt idx="73">
                  <c:v>-2.3303512915287965</c:v>
                </c:pt>
                <c:pt idx="74">
                  <c:v>-1.8095436351662133</c:v>
                </c:pt>
                <c:pt idx="75">
                  <c:v>-2.4689780764775238</c:v>
                </c:pt>
                <c:pt idx="76">
                  <c:v>-1.8358880307229861</c:v>
                </c:pt>
                <c:pt idx="77">
                  <c:v>-2.6527282679945228</c:v>
                </c:pt>
                <c:pt idx="78">
                  <c:v>-1.8631560649110412</c:v>
                </c:pt>
                <c:pt idx="79">
                  <c:v>-2.9396114149510946</c:v>
                </c:pt>
                <c:pt idx="80">
                  <c:v>-1.8914556782967133</c:v>
                </c:pt>
                <c:pt idx="81">
                  <c:v>-3.7915284761633217</c:v>
                </c:pt>
                <c:pt idx="82">
                  <c:v>-1.9209122370761589</c:v>
                </c:pt>
                <c:pt idx="83">
                  <c:v>-3.1276021237983582</c:v>
                </c:pt>
                <c:pt idx="84">
                  <c:v>-1.9516725799108672</c:v>
                </c:pt>
                <c:pt idx="85">
                  <c:v>-2.8017398168172001</c:v>
                </c:pt>
                <c:pt idx="86">
                  <c:v>-1.9839103223988355</c:v>
                </c:pt>
                <c:pt idx="87">
                  <c:v>-2.6300758667530073</c:v>
                </c:pt>
                <c:pt idx="88">
                  <c:v>-2.01783291492371</c:v>
                </c:pt>
                <c:pt idx="89">
                  <c:v>-2.5161807937109848</c:v>
                </c:pt>
                <c:pt idx="90">
                  <c:v>-2.0536911947129179</c:v>
                </c:pt>
                <c:pt idx="91">
                  <c:v>-2.4327515215636879</c:v>
                </c:pt>
                <c:pt idx="92">
                  <c:v>-2.0917925674987132</c:v>
                </c:pt>
                <c:pt idx="93">
                  <c:v>-2.368144875295954</c:v>
                </c:pt>
                <c:pt idx="94">
                  <c:v>-2.1325196077932702</c:v>
                </c:pt>
                <c:pt idx="95">
                  <c:v>-2.316306778933201</c:v>
                </c:pt>
                <c:pt idx="96">
                  <c:v>-2.1763569895230512</c:v>
                </c:pt>
                <c:pt idx="97">
                  <c:v>-2.2736857847101968</c:v>
                </c:pt>
                <c:pt idx="98">
                  <c:v>-2.2239316668175797</c:v>
                </c:pt>
              </c:numCache>
            </c:numRef>
          </c:yVal>
          <c:smooth val="1"/>
          <c:extLst>
            <c:ext xmlns:c16="http://schemas.microsoft.com/office/drawing/2014/chart" uri="{C3380CC4-5D6E-409C-BE32-E72D297353CC}">
              <c16:uniqueId val="{00000001-6A70-426A-9E90-3D451E00E3DC}"/>
            </c:ext>
          </c:extLst>
        </c:ser>
        <c:dLbls>
          <c:showLegendKey val="0"/>
          <c:showVal val="0"/>
          <c:showCatName val="0"/>
          <c:showSerName val="0"/>
          <c:showPercent val="0"/>
          <c:showBubbleSize val="0"/>
        </c:dLbls>
        <c:axId val="1641492319"/>
        <c:axId val="1641490399"/>
      </c:scatterChart>
      <c:valAx>
        <c:axId val="1641492319"/>
        <c:scaling>
          <c:orientation val="minMax"/>
          <c:max val="2"/>
          <c:min val="0.2800000000000000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0399"/>
        <c:crosses val="autoZero"/>
        <c:crossBetween val="midCat"/>
      </c:valAx>
      <c:valAx>
        <c:axId val="1641490399"/>
        <c:scaling>
          <c:orientation val="minMax"/>
          <c:max val="-0.17455439757307095"/>
          <c:min val="-3.963765337048571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log(erreur)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2319"/>
        <c:crosses val="autoZero"/>
        <c:crossBetween val="midCat"/>
      </c:valAx>
      <c:spPr>
        <a:noFill/>
        <a:ln>
          <a:noFill/>
        </a:ln>
        <a:effectLst/>
      </c:spPr>
    </c:plotArea>
    <c:legend>
      <c:legendPos val="t"/>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aseline="0"/>
              <a:t>Put : </a:t>
            </a:r>
            <a:r>
              <a:rPr lang="en-GB" sz="1400" b="0" i="0" u="none" strike="noStrike" kern="1200" spc="0" baseline="0">
                <a:solidFill>
                  <a:sysClr val="windowText" lastClr="000000">
                    <a:lumMod val="65000"/>
                    <a:lumOff val="35000"/>
                  </a:sysClr>
                </a:solidFill>
              </a:rPr>
              <a:t>Ordre de convergence O(1/N) du prix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log|PrixCRR-PrixBS|</c:v>
          </c:tx>
          <c:spPr>
            <a:ln w="19050" cap="rnd">
              <a:solidFill>
                <a:srgbClr val="4EA72E">
                  <a:lumMod val="75000"/>
                </a:srgbClr>
              </a:solidFill>
              <a:round/>
            </a:ln>
            <a:effectLst/>
          </c:spPr>
          <c:marker>
            <c:symbol val="none"/>
          </c:marker>
          <c:trendline>
            <c:name>Droite de régression (pente~-1)</c:name>
            <c:spPr>
              <a:ln w="19050" cap="rnd">
                <a:solidFill>
                  <a:srgbClr val="4EA72E">
                    <a:lumMod val="75000"/>
                  </a:srgbClr>
                </a:solidFill>
                <a:prstDash val="sysDot"/>
              </a:ln>
              <a:effectLst/>
            </c:spPr>
            <c:trendlineType val="linear"/>
            <c:dispRSqr val="0"/>
            <c:dispEq val="1"/>
            <c:trendlineLbl>
              <c:layout>
                <c:manualLayout>
                  <c:x val="-0.14476354232799532"/>
                  <c:y val="-4.4898666954796412E-2"/>
                </c:manualLayout>
              </c:layout>
              <c:numFmt formatCode="General" sourceLinked="0"/>
              <c:spPr>
                <a:noFill/>
                <a:ln>
                  <a:noFill/>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Opt!$C$45:$CW$45</c:f>
              <c:numCache>
                <c:formatCode>0.0000</c:formatCode>
                <c:ptCount val="99"/>
                <c:pt idx="0">
                  <c:v>0.3010299956639812</c:v>
                </c:pt>
                <c:pt idx="1">
                  <c:v>0.47712125471966244</c:v>
                </c:pt>
                <c:pt idx="2">
                  <c:v>0.6020599913279624</c:v>
                </c:pt>
                <c:pt idx="3">
                  <c:v>0.69897000433601886</c:v>
                </c:pt>
                <c:pt idx="4">
                  <c:v>0.77815125038364363</c:v>
                </c:pt>
                <c:pt idx="5">
                  <c:v>0.84509804001425681</c:v>
                </c:pt>
                <c:pt idx="6">
                  <c:v>0.90308998699194354</c:v>
                </c:pt>
                <c:pt idx="7">
                  <c:v>0.95424250943932487</c:v>
                </c:pt>
                <c:pt idx="8">
                  <c:v>1</c:v>
                </c:pt>
                <c:pt idx="9">
                  <c:v>1.0413926851582251</c:v>
                </c:pt>
                <c:pt idx="10">
                  <c:v>1.0791812460476249</c:v>
                </c:pt>
                <c:pt idx="11">
                  <c:v>1.1139433523068367</c:v>
                </c:pt>
                <c:pt idx="12">
                  <c:v>1.146128035678238</c:v>
                </c:pt>
                <c:pt idx="13">
                  <c:v>1.1760912590556813</c:v>
                </c:pt>
                <c:pt idx="14">
                  <c:v>1.2041199826559248</c:v>
                </c:pt>
                <c:pt idx="15">
                  <c:v>1.2304489213782739</c:v>
                </c:pt>
                <c:pt idx="16">
                  <c:v>1.255272505103306</c:v>
                </c:pt>
                <c:pt idx="17">
                  <c:v>1.2787536009528289</c:v>
                </c:pt>
                <c:pt idx="18">
                  <c:v>1.3010299956639813</c:v>
                </c:pt>
                <c:pt idx="19">
                  <c:v>1.3222192947339193</c:v>
                </c:pt>
                <c:pt idx="20">
                  <c:v>1.3424226808222062</c:v>
                </c:pt>
                <c:pt idx="21">
                  <c:v>1.3617278360175928</c:v>
                </c:pt>
                <c:pt idx="22">
                  <c:v>1.3802112417116059</c:v>
                </c:pt>
                <c:pt idx="23">
                  <c:v>1.3979400086720377</c:v>
                </c:pt>
                <c:pt idx="24">
                  <c:v>1.414973347970818</c:v>
                </c:pt>
                <c:pt idx="25">
                  <c:v>1.4313637641589874</c:v>
                </c:pt>
                <c:pt idx="26">
                  <c:v>1.4471580313422192</c:v>
                </c:pt>
                <c:pt idx="27">
                  <c:v>1.4623979978989561</c:v>
                </c:pt>
                <c:pt idx="28">
                  <c:v>1.4771212547196624</c:v>
                </c:pt>
                <c:pt idx="29">
                  <c:v>1.4913616938342726</c:v>
                </c:pt>
                <c:pt idx="30">
                  <c:v>1.505149978319906</c:v>
                </c:pt>
                <c:pt idx="31">
                  <c:v>1.5185139398778875</c:v>
                </c:pt>
                <c:pt idx="32">
                  <c:v>1.5314789170422551</c:v>
                </c:pt>
                <c:pt idx="33">
                  <c:v>1.5440680443502757</c:v>
                </c:pt>
                <c:pt idx="34">
                  <c:v>1.5563025007672873</c:v>
                </c:pt>
                <c:pt idx="35">
                  <c:v>1.568201724066995</c:v>
                </c:pt>
                <c:pt idx="36">
                  <c:v>1.5797835966168101</c:v>
                </c:pt>
                <c:pt idx="37">
                  <c:v>1.5910646070264991</c:v>
                </c:pt>
                <c:pt idx="38">
                  <c:v>1.6020599913279623</c:v>
                </c:pt>
                <c:pt idx="39">
                  <c:v>1.6127838567197355</c:v>
                </c:pt>
                <c:pt idx="40">
                  <c:v>1.6232492903979006</c:v>
                </c:pt>
                <c:pt idx="41">
                  <c:v>1.6334684555795864</c:v>
                </c:pt>
                <c:pt idx="42">
                  <c:v>1.6434526764861874</c:v>
                </c:pt>
                <c:pt idx="43">
                  <c:v>1.6532125137753437</c:v>
                </c:pt>
                <c:pt idx="44">
                  <c:v>1.6627578316815741</c:v>
                </c:pt>
                <c:pt idx="45">
                  <c:v>1.6720978579357175</c:v>
                </c:pt>
                <c:pt idx="46">
                  <c:v>1.6812412373755872</c:v>
                </c:pt>
                <c:pt idx="47">
                  <c:v>1.6901960800285136</c:v>
                </c:pt>
                <c:pt idx="48">
                  <c:v>1.6989700043360187</c:v>
                </c:pt>
                <c:pt idx="49">
                  <c:v>1.7075701760979363</c:v>
                </c:pt>
                <c:pt idx="50">
                  <c:v>1.7160033436347992</c:v>
                </c:pt>
                <c:pt idx="51">
                  <c:v>1.7242758696007889</c:v>
                </c:pt>
                <c:pt idx="52">
                  <c:v>1.7323937598229686</c:v>
                </c:pt>
                <c:pt idx="53">
                  <c:v>1.7403626894942439</c:v>
                </c:pt>
                <c:pt idx="54">
                  <c:v>1.7481880270062005</c:v>
                </c:pt>
                <c:pt idx="55">
                  <c:v>1.7558748556724915</c:v>
                </c:pt>
                <c:pt idx="56">
                  <c:v>1.7634279935629373</c:v>
                </c:pt>
                <c:pt idx="57">
                  <c:v>1.7708520116421442</c:v>
                </c:pt>
                <c:pt idx="58">
                  <c:v>1.7781512503836436</c:v>
                </c:pt>
                <c:pt idx="59">
                  <c:v>1.7853298350107671</c:v>
                </c:pt>
                <c:pt idx="60">
                  <c:v>1.7923916894982539</c:v>
                </c:pt>
                <c:pt idx="61">
                  <c:v>1.7993405494535817</c:v>
                </c:pt>
                <c:pt idx="62">
                  <c:v>1.8061799739838871</c:v>
                </c:pt>
                <c:pt idx="63">
                  <c:v>1.8129133566428555</c:v>
                </c:pt>
                <c:pt idx="64">
                  <c:v>1.8195439355418688</c:v>
                </c:pt>
                <c:pt idx="65">
                  <c:v>1.8260748027008264</c:v>
                </c:pt>
                <c:pt idx="66">
                  <c:v>1.8325089127062364</c:v>
                </c:pt>
                <c:pt idx="67">
                  <c:v>1.8388490907372552</c:v>
                </c:pt>
                <c:pt idx="68">
                  <c:v>1.8450980400142569</c:v>
                </c:pt>
                <c:pt idx="69">
                  <c:v>1.8512583487190752</c:v>
                </c:pt>
                <c:pt idx="70">
                  <c:v>1.8573324964312685</c:v>
                </c:pt>
                <c:pt idx="71">
                  <c:v>1.8633228601204559</c:v>
                </c:pt>
                <c:pt idx="72">
                  <c:v>1.8692317197309762</c:v>
                </c:pt>
                <c:pt idx="73">
                  <c:v>1.8750612633917001</c:v>
                </c:pt>
                <c:pt idx="74">
                  <c:v>1.8808135922807914</c:v>
                </c:pt>
                <c:pt idx="75">
                  <c:v>1.8864907251724818</c:v>
                </c:pt>
                <c:pt idx="76">
                  <c:v>1.8920946026904804</c:v>
                </c:pt>
                <c:pt idx="77">
                  <c:v>1.8976270912904414</c:v>
                </c:pt>
                <c:pt idx="78">
                  <c:v>1.9030899869919435</c:v>
                </c:pt>
                <c:pt idx="79">
                  <c:v>1.9084850188786497</c:v>
                </c:pt>
                <c:pt idx="80">
                  <c:v>1.9138138523837167</c:v>
                </c:pt>
                <c:pt idx="81">
                  <c:v>1.919078092376074</c:v>
                </c:pt>
                <c:pt idx="82">
                  <c:v>1.9242792860618816</c:v>
                </c:pt>
                <c:pt idx="83">
                  <c:v>1.9294189257142926</c:v>
                </c:pt>
                <c:pt idx="84">
                  <c:v>1.9344984512435677</c:v>
                </c:pt>
                <c:pt idx="85">
                  <c:v>1.9395192526186185</c:v>
                </c:pt>
                <c:pt idx="86">
                  <c:v>1.9444826721501687</c:v>
                </c:pt>
                <c:pt idx="87">
                  <c:v>1.9493900066449128</c:v>
                </c:pt>
                <c:pt idx="88">
                  <c:v>1.954242509439325</c:v>
                </c:pt>
                <c:pt idx="89">
                  <c:v>1.9590413923210936</c:v>
                </c:pt>
                <c:pt idx="90">
                  <c:v>1.9637878273455553</c:v>
                </c:pt>
                <c:pt idx="91">
                  <c:v>1.968482948553935</c:v>
                </c:pt>
                <c:pt idx="92">
                  <c:v>1.9731278535996986</c:v>
                </c:pt>
                <c:pt idx="93">
                  <c:v>1.9777236052888478</c:v>
                </c:pt>
                <c:pt idx="94">
                  <c:v>1.9822712330395684</c:v>
                </c:pt>
                <c:pt idx="95">
                  <c:v>1.9867717342662448</c:v>
                </c:pt>
                <c:pt idx="96">
                  <c:v>1.9912260756924949</c:v>
                </c:pt>
                <c:pt idx="97">
                  <c:v>1.9956351945975499</c:v>
                </c:pt>
                <c:pt idx="98">
                  <c:v>2</c:v>
                </c:pt>
              </c:numCache>
            </c:numRef>
          </c:xVal>
          <c:yVal>
            <c:numRef>
              <c:f>Opt!$C$49:$CW$49</c:f>
              <c:numCache>
                <c:formatCode>0.0000</c:formatCode>
                <c:ptCount val="99"/>
                <c:pt idx="0">
                  <c:v>-0.44919634665807728</c:v>
                </c:pt>
                <c:pt idx="1">
                  <c:v>-0.31051019837508687</c:v>
                </c:pt>
                <c:pt idx="2">
                  <c:v>-1.1606208826251319</c:v>
                </c:pt>
                <c:pt idx="3">
                  <c:v>-0.58722546477603565</c:v>
                </c:pt>
                <c:pt idx="4">
                  <c:v>-2.0136524378171807</c:v>
                </c:pt>
                <c:pt idx="5">
                  <c:v>-0.79685215279490251</c:v>
                </c:pt>
                <c:pt idx="6">
                  <c:v>-1.3962920288052534</c:v>
                </c:pt>
                <c:pt idx="7">
                  <c:v>-0.9800126185436403</c:v>
                </c:pt>
                <c:pt idx="8">
                  <c:v>-1.2716634206896993</c:v>
                </c:pt>
                <c:pt idx="9">
                  <c:v>-1.1560183470177536</c:v>
                </c:pt>
                <c:pt idx="10">
                  <c:v>-1.2263101012111528</c:v>
                </c:pt>
                <c:pt idx="11">
                  <c:v>-1.3400232543525052</c:v>
                </c:pt>
                <c:pt idx="12">
                  <c:v>-1.210342121297487</c:v>
                </c:pt>
                <c:pt idx="13">
                  <c:v>-1.5521093150356016</c:v>
                </c:pt>
                <c:pt idx="14">
                  <c:v>-1.2083425976545583</c:v>
                </c:pt>
                <c:pt idx="15">
                  <c:v>-1.836878580793849</c:v>
                </c:pt>
                <c:pt idx="16">
                  <c:v>-1.2139114012949361</c:v>
                </c:pt>
                <c:pt idx="17">
                  <c:v>-2.4067300668540312</c:v>
                </c:pt>
                <c:pt idx="18">
                  <c:v>-1.2239314465415492</c:v>
                </c:pt>
                <c:pt idx="19">
                  <c:v>-2.3292308829477513</c:v>
                </c:pt>
                <c:pt idx="20">
                  <c:v>-1.2367218990714952</c:v>
                </c:pt>
                <c:pt idx="21">
                  <c:v>-1.9284969786561097</c:v>
                </c:pt>
                <c:pt idx="22">
                  <c:v>-1.2513103739400104</c:v>
                </c:pt>
                <c:pt idx="23">
                  <c:v>-1.7507125465516584</c:v>
                </c:pt>
                <c:pt idx="24">
                  <c:v>-1.2671051683228491</c:v>
                </c:pt>
                <c:pt idx="25">
                  <c:v>-1.6414663306953672</c:v>
                </c:pt>
                <c:pt idx="26">
                  <c:v>-1.2837327720570266</c:v>
                </c:pt>
                <c:pt idx="27">
                  <c:v>-1.5653201647733395</c:v>
                </c:pt>
                <c:pt idx="28">
                  <c:v>-1.3009512268234196</c:v>
                </c:pt>
                <c:pt idx="29">
                  <c:v>-1.5084090466209392</c:v>
                </c:pt>
                <c:pt idx="30">
                  <c:v>-1.318601205379591</c:v>
                </c:pt>
                <c:pt idx="31">
                  <c:v>-1.4639104618095287</c:v>
                </c:pt>
                <c:pt idx="32">
                  <c:v>-1.3365770838543605</c:v>
                </c:pt>
                <c:pt idx="33">
                  <c:v>-1.427988436299598</c:v>
                </c:pt>
                <c:pt idx="34">
                  <c:v>-1.3548091765067092</c:v>
                </c:pt>
                <c:pt idx="35">
                  <c:v>-1.3982868870111769</c:v>
                </c:pt>
                <c:pt idx="36">
                  <c:v>-1.373252478590963</c:v>
                </c:pt>
                <c:pt idx="37">
                  <c:v>-1.3732641220731803</c:v>
                </c:pt>
                <c:pt idx="38">
                  <c:v>-1.3918793459098087</c:v>
                </c:pt>
                <c:pt idx="39">
                  <c:v>-1.3518619798086369</c:v>
                </c:pt>
                <c:pt idx="40">
                  <c:v>-1.4106746325773387</c:v>
                </c:pt>
                <c:pt idx="41">
                  <c:v>-1.3333264625762311</c:v>
                </c:pt>
                <c:pt idx="42">
                  <c:v>-1.4296324074856681</c:v>
                </c:pt>
                <c:pt idx="43">
                  <c:v>-1.3395247525003746</c:v>
                </c:pt>
                <c:pt idx="44">
                  <c:v>-1.4487537105975881</c:v>
                </c:pt>
                <c:pt idx="45">
                  <c:v>-1.3930433404097953</c:v>
                </c:pt>
                <c:pt idx="46">
                  <c:v>-1.4680450105754679</c:v>
                </c:pt>
                <c:pt idx="47">
                  <c:v>-1.4472107286235767</c:v>
                </c:pt>
                <c:pt idx="48">
                  <c:v>-1.4875171464013355</c:v>
                </c:pt>
                <c:pt idx="49">
                  <c:v>-1.5023042502809623</c:v>
                </c:pt>
                <c:pt idx="50">
                  <c:v>-1.5071846110686327</c:v>
                </c:pt>
                <c:pt idx="51">
                  <c:v>-1.5586370438383685</c:v>
                </c:pt>
                <c:pt idx="52">
                  <c:v>-1.5270650834437336</c:v>
                </c:pt>
                <c:pt idx="53">
                  <c:v>-1.616572451306777</c:v>
                </c:pt>
                <c:pt idx="54">
                  <c:v>-1.5471791457626518</c:v>
                </c:pt>
                <c:pt idx="55">
                  <c:v>-1.6765436822701791</c:v>
                </c:pt>
                <c:pt idx="56">
                  <c:v>-1.5675501452041856</c:v>
                </c:pt>
                <c:pt idx="57">
                  <c:v>-1.7390817241617971</c:v>
                </c:pt>
                <c:pt idx="58">
                  <c:v>-1.588204172606493</c:v>
                </c:pt>
                <c:pt idx="59">
                  <c:v>-1.8048565017202798</c:v>
                </c:pt>
                <c:pt idx="60">
                  <c:v>-1.6091701415760311</c:v>
                </c:pt>
                <c:pt idx="61">
                  <c:v>-1.8747400937749867</c:v>
                </c:pt>
                <c:pt idx="62">
                  <c:v>-1.6304799592863353</c:v>
                </c:pt>
                <c:pt idx="63">
                  <c:v>-1.949908378790314</c:v>
                </c:pt>
                <c:pt idx="64">
                  <c:v>-1.652168786351597</c:v>
                </c:pt>
                <c:pt idx="65">
                  <c:v>-2.0320135552481959</c:v>
                </c:pt>
                <c:pt idx="66">
                  <c:v>-1.6742753888265316</c:v>
                </c:pt>
                <c:pt idx="67">
                  <c:v>-2.1234971246226304</c:v>
                </c:pt>
                <c:pt idx="68">
                  <c:v>-1.6968425904387177</c:v>
                </c:pt>
                <c:pt idx="69">
                  <c:v>-2.2282083758468474</c:v>
                </c:pt>
                <c:pt idx="70">
                  <c:v>-1.7199178390137519</c:v>
                </c:pt>
                <c:pt idx="71">
                  <c:v>-2.3527758763382631</c:v>
                </c:pt>
                <c:pt idx="72">
                  <c:v>-1.743553907235752</c:v>
                </c:pt>
                <c:pt idx="73">
                  <c:v>-2.5101992133415969</c:v>
                </c:pt>
                <c:pt idx="74">
                  <c:v>-1.767809755806119</c:v>
                </c:pt>
                <c:pt idx="75">
                  <c:v>-2.732153596551139</c:v>
                </c:pt>
                <c:pt idx="76">
                  <c:v>-1.7927515971386381</c:v>
                </c:pt>
                <c:pt idx="77">
                  <c:v>-3.1425381756318873</c:v>
                </c:pt>
                <c:pt idx="78">
                  <c:v>-1.8184542108950439</c:v>
                </c:pt>
                <c:pt idx="79">
                  <c:v>-3.4973370118969829</c:v>
                </c:pt>
                <c:pt idx="80">
                  <c:v>-1.8450025807906427</c:v>
                </c:pt>
                <c:pt idx="81">
                  <c:v>-2.8960598853943424</c:v>
                </c:pt>
                <c:pt idx="82">
                  <c:v>-1.8724939472448918</c:v>
                </c:pt>
                <c:pt idx="83">
                  <c:v>-2.6688272173866787</c:v>
                </c:pt>
                <c:pt idx="84">
                  <c:v>-1.9010404055790837</c:v>
                </c:pt>
                <c:pt idx="85">
                  <c:v>-2.530951270708377</c:v>
                </c:pt>
                <c:pt idx="86">
                  <c:v>-1.9307722310814119</c:v>
                </c:pt>
                <c:pt idx="87">
                  <c:v>-2.43423185640115</c:v>
                </c:pt>
                <c:pt idx="88">
                  <c:v>-1.9618421869385274</c:v>
                </c:pt>
                <c:pt idx="89">
                  <c:v>-2.3612322043915381</c:v>
                </c:pt>
                <c:pt idx="90">
                  <c:v>-1.9944311840105877</c:v>
                </c:pt>
                <c:pt idx="91">
                  <c:v>-2.303646026870525</c:v>
                </c:pt>
                <c:pt idx="92">
                  <c:v>-2.0287558346455907</c:v>
                </c:pt>
                <c:pt idx="93">
                  <c:v>-2.2568633275544103</c:v>
                </c:pt>
                <c:pt idx="94">
                  <c:v>-2.0650787147785286</c:v>
                </c:pt>
                <c:pt idx="95">
                  <c:v>-2.2180598274623149</c:v>
                </c:pt>
                <c:pt idx="96">
                  <c:v>-2.1037225898570724</c:v>
                </c:pt>
                <c:pt idx="97">
                  <c:v>-2.1853805876856041</c:v>
                </c:pt>
                <c:pt idx="98">
                  <c:v>-2.1450905962456823</c:v>
                </c:pt>
              </c:numCache>
            </c:numRef>
          </c:yVal>
          <c:smooth val="1"/>
          <c:extLst>
            <c:ext xmlns:c16="http://schemas.microsoft.com/office/drawing/2014/chart" uri="{C3380CC4-5D6E-409C-BE32-E72D297353CC}">
              <c16:uniqueId val="{00000001-5F71-4D98-AE46-D172DD87F9DF}"/>
            </c:ext>
          </c:extLst>
        </c:ser>
        <c:dLbls>
          <c:showLegendKey val="0"/>
          <c:showVal val="0"/>
          <c:showCatName val="0"/>
          <c:showSerName val="0"/>
          <c:showPercent val="0"/>
          <c:showBubbleSize val="0"/>
        </c:dLbls>
        <c:axId val="1641492319"/>
        <c:axId val="1641490399"/>
      </c:scatterChart>
      <c:valAx>
        <c:axId val="1641492319"/>
        <c:scaling>
          <c:orientation val="minMax"/>
          <c:max val="2"/>
          <c:min val="0.2800000000000000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0399"/>
        <c:crosses val="autoZero"/>
        <c:crossBetween val="midCat"/>
      </c:valAx>
      <c:valAx>
        <c:axId val="1641490399"/>
        <c:scaling>
          <c:orientation val="minMax"/>
          <c:max val="-0.15116885769899205"/>
          <c:min val="-3.656678352573077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log(erreur)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2319"/>
        <c:crosses val="autoZero"/>
        <c:crossBetween val="midCat"/>
      </c:valAx>
      <c:spPr>
        <a:noFill/>
        <a:ln>
          <a:noFill/>
        </a:ln>
        <a:effectLst/>
      </c:spPr>
    </c:plotArea>
    <c:legend>
      <c:legendPos val="t"/>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Call</a:t>
            </a:r>
            <a:r>
              <a:rPr lang="en-GB" baseline="0"/>
              <a:t> : </a:t>
            </a:r>
            <a:r>
              <a:rPr lang="en-GB" sz="1400" b="0" i="0" u="none" strike="noStrike" baseline="0"/>
              <a:t>Ordre de convergence O(1/N) du </a:t>
            </a:r>
            <a:r>
              <a:rPr lang="el-GR" sz="1400" b="0" i="0" u="none" strike="noStrike" baseline="0">
                <a:latin typeface="Aptos Narrow" panose="020B0004020202020204" pitchFamily="34" charset="0"/>
              </a:rPr>
              <a:t>Δ</a:t>
            </a:r>
            <a:r>
              <a:rPr lang="en-GB" sz="1400" b="0" i="0" u="none" strike="noStrike" baseline="0"/>
              <a:t>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log|ΔCRR-ΔBS|</c:v>
          </c:tx>
          <c:spPr>
            <a:ln w="19050" cap="rnd">
              <a:solidFill>
                <a:srgbClr val="CFCB13"/>
              </a:solidFill>
              <a:round/>
            </a:ln>
            <a:effectLst/>
          </c:spPr>
          <c:marker>
            <c:symbol val="none"/>
          </c:marker>
          <c:trendline>
            <c:name>Droite de régression (pente~-1)</c:name>
            <c:spPr>
              <a:ln w="19050" cap="rnd">
                <a:solidFill>
                  <a:srgbClr val="CFCB13"/>
                </a:solidFill>
                <a:prstDash val="sysDot"/>
              </a:ln>
              <a:effectLst/>
            </c:spPr>
            <c:trendlineType val="linear"/>
            <c:dispRSqr val="0"/>
            <c:dispEq val="1"/>
            <c:trendlineLbl>
              <c:layout>
                <c:manualLayout>
                  <c:x val="-0.69057424704490222"/>
                  <c:y val="-0.19895826551751197"/>
                </c:manualLayout>
              </c:layout>
              <c:numFmt formatCode="General" sourceLinked="0"/>
              <c:spPr>
                <a:noFill/>
                <a:ln>
                  <a:noFill/>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Opt!$C$45:$CW$45</c:f>
              <c:numCache>
                <c:formatCode>0.0000</c:formatCode>
                <c:ptCount val="99"/>
                <c:pt idx="0">
                  <c:v>0.3010299956639812</c:v>
                </c:pt>
                <c:pt idx="1">
                  <c:v>0.47712125471966244</c:v>
                </c:pt>
                <c:pt idx="2">
                  <c:v>0.6020599913279624</c:v>
                </c:pt>
                <c:pt idx="3">
                  <c:v>0.69897000433601886</c:v>
                </c:pt>
                <c:pt idx="4">
                  <c:v>0.77815125038364363</c:v>
                </c:pt>
                <c:pt idx="5">
                  <c:v>0.84509804001425681</c:v>
                </c:pt>
                <c:pt idx="6">
                  <c:v>0.90308998699194354</c:v>
                </c:pt>
                <c:pt idx="7">
                  <c:v>0.95424250943932487</c:v>
                </c:pt>
                <c:pt idx="8">
                  <c:v>1</c:v>
                </c:pt>
                <c:pt idx="9">
                  <c:v>1.0413926851582251</c:v>
                </c:pt>
                <c:pt idx="10">
                  <c:v>1.0791812460476249</c:v>
                </c:pt>
                <c:pt idx="11">
                  <c:v>1.1139433523068367</c:v>
                </c:pt>
                <c:pt idx="12">
                  <c:v>1.146128035678238</c:v>
                </c:pt>
                <c:pt idx="13">
                  <c:v>1.1760912590556813</c:v>
                </c:pt>
                <c:pt idx="14">
                  <c:v>1.2041199826559248</c:v>
                </c:pt>
                <c:pt idx="15">
                  <c:v>1.2304489213782739</c:v>
                </c:pt>
                <c:pt idx="16">
                  <c:v>1.255272505103306</c:v>
                </c:pt>
                <c:pt idx="17">
                  <c:v>1.2787536009528289</c:v>
                </c:pt>
                <c:pt idx="18">
                  <c:v>1.3010299956639813</c:v>
                </c:pt>
                <c:pt idx="19">
                  <c:v>1.3222192947339193</c:v>
                </c:pt>
                <c:pt idx="20">
                  <c:v>1.3424226808222062</c:v>
                </c:pt>
                <c:pt idx="21">
                  <c:v>1.3617278360175928</c:v>
                </c:pt>
                <c:pt idx="22">
                  <c:v>1.3802112417116059</c:v>
                </c:pt>
                <c:pt idx="23">
                  <c:v>1.3979400086720377</c:v>
                </c:pt>
                <c:pt idx="24">
                  <c:v>1.414973347970818</c:v>
                </c:pt>
                <c:pt idx="25">
                  <c:v>1.4313637641589874</c:v>
                </c:pt>
                <c:pt idx="26">
                  <c:v>1.4471580313422192</c:v>
                </c:pt>
                <c:pt idx="27">
                  <c:v>1.4623979978989561</c:v>
                </c:pt>
                <c:pt idx="28">
                  <c:v>1.4771212547196624</c:v>
                </c:pt>
                <c:pt idx="29">
                  <c:v>1.4913616938342726</c:v>
                </c:pt>
                <c:pt idx="30">
                  <c:v>1.505149978319906</c:v>
                </c:pt>
                <c:pt idx="31">
                  <c:v>1.5185139398778875</c:v>
                </c:pt>
                <c:pt idx="32">
                  <c:v>1.5314789170422551</c:v>
                </c:pt>
                <c:pt idx="33">
                  <c:v>1.5440680443502757</c:v>
                </c:pt>
                <c:pt idx="34">
                  <c:v>1.5563025007672873</c:v>
                </c:pt>
                <c:pt idx="35">
                  <c:v>1.568201724066995</c:v>
                </c:pt>
                <c:pt idx="36">
                  <c:v>1.5797835966168101</c:v>
                </c:pt>
                <c:pt idx="37">
                  <c:v>1.5910646070264991</c:v>
                </c:pt>
                <c:pt idx="38">
                  <c:v>1.6020599913279623</c:v>
                </c:pt>
                <c:pt idx="39">
                  <c:v>1.6127838567197355</c:v>
                </c:pt>
                <c:pt idx="40">
                  <c:v>1.6232492903979006</c:v>
                </c:pt>
                <c:pt idx="41">
                  <c:v>1.6334684555795864</c:v>
                </c:pt>
                <c:pt idx="42">
                  <c:v>1.6434526764861874</c:v>
                </c:pt>
                <c:pt idx="43">
                  <c:v>1.6532125137753437</c:v>
                </c:pt>
                <c:pt idx="44">
                  <c:v>1.6627578316815741</c:v>
                </c:pt>
                <c:pt idx="45">
                  <c:v>1.6720978579357175</c:v>
                </c:pt>
                <c:pt idx="46">
                  <c:v>1.6812412373755872</c:v>
                </c:pt>
                <c:pt idx="47">
                  <c:v>1.6901960800285136</c:v>
                </c:pt>
                <c:pt idx="48">
                  <c:v>1.6989700043360187</c:v>
                </c:pt>
                <c:pt idx="49">
                  <c:v>1.7075701760979363</c:v>
                </c:pt>
                <c:pt idx="50">
                  <c:v>1.7160033436347992</c:v>
                </c:pt>
                <c:pt idx="51">
                  <c:v>1.7242758696007889</c:v>
                </c:pt>
                <c:pt idx="52">
                  <c:v>1.7323937598229686</c:v>
                </c:pt>
                <c:pt idx="53">
                  <c:v>1.7403626894942439</c:v>
                </c:pt>
                <c:pt idx="54">
                  <c:v>1.7481880270062005</c:v>
                </c:pt>
                <c:pt idx="55">
                  <c:v>1.7558748556724915</c:v>
                </c:pt>
                <c:pt idx="56">
                  <c:v>1.7634279935629373</c:v>
                </c:pt>
                <c:pt idx="57">
                  <c:v>1.7708520116421442</c:v>
                </c:pt>
                <c:pt idx="58">
                  <c:v>1.7781512503836436</c:v>
                </c:pt>
                <c:pt idx="59">
                  <c:v>1.7853298350107671</c:v>
                </c:pt>
                <c:pt idx="60">
                  <c:v>1.7923916894982539</c:v>
                </c:pt>
                <c:pt idx="61">
                  <c:v>1.7993405494535817</c:v>
                </c:pt>
                <c:pt idx="62">
                  <c:v>1.8061799739838871</c:v>
                </c:pt>
                <c:pt idx="63">
                  <c:v>1.8129133566428555</c:v>
                </c:pt>
                <c:pt idx="64">
                  <c:v>1.8195439355418688</c:v>
                </c:pt>
                <c:pt idx="65">
                  <c:v>1.8260748027008264</c:v>
                </c:pt>
                <c:pt idx="66">
                  <c:v>1.8325089127062364</c:v>
                </c:pt>
                <c:pt idx="67">
                  <c:v>1.8388490907372552</c:v>
                </c:pt>
                <c:pt idx="68">
                  <c:v>1.8450980400142569</c:v>
                </c:pt>
                <c:pt idx="69">
                  <c:v>1.8512583487190752</c:v>
                </c:pt>
                <c:pt idx="70">
                  <c:v>1.8573324964312685</c:v>
                </c:pt>
                <c:pt idx="71">
                  <c:v>1.8633228601204559</c:v>
                </c:pt>
                <c:pt idx="72">
                  <c:v>1.8692317197309762</c:v>
                </c:pt>
                <c:pt idx="73">
                  <c:v>1.8750612633917001</c:v>
                </c:pt>
                <c:pt idx="74">
                  <c:v>1.8808135922807914</c:v>
                </c:pt>
                <c:pt idx="75">
                  <c:v>1.8864907251724818</c:v>
                </c:pt>
                <c:pt idx="76">
                  <c:v>1.8920946026904804</c:v>
                </c:pt>
                <c:pt idx="77">
                  <c:v>1.8976270912904414</c:v>
                </c:pt>
                <c:pt idx="78">
                  <c:v>1.9030899869919435</c:v>
                </c:pt>
                <c:pt idx="79">
                  <c:v>1.9084850188786497</c:v>
                </c:pt>
                <c:pt idx="80">
                  <c:v>1.9138138523837167</c:v>
                </c:pt>
                <c:pt idx="81">
                  <c:v>1.919078092376074</c:v>
                </c:pt>
                <c:pt idx="82">
                  <c:v>1.9242792860618816</c:v>
                </c:pt>
                <c:pt idx="83">
                  <c:v>1.9294189257142926</c:v>
                </c:pt>
                <c:pt idx="84">
                  <c:v>1.9344984512435677</c:v>
                </c:pt>
                <c:pt idx="85">
                  <c:v>1.9395192526186185</c:v>
                </c:pt>
                <c:pt idx="86">
                  <c:v>1.9444826721501687</c:v>
                </c:pt>
                <c:pt idx="87">
                  <c:v>1.9493900066449128</c:v>
                </c:pt>
                <c:pt idx="88">
                  <c:v>1.954242509439325</c:v>
                </c:pt>
                <c:pt idx="89">
                  <c:v>1.9590413923210936</c:v>
                </c:pt>
                <c:pt idx="90">
                  <c:v>1.9637878273455553</c:v>
                </c:pt>
                <c:pt idx="91">
                  <c:v>1.968482948553935</c:v>
                </c:pt>
                <c:pt idx="92">
                  <c:v>1.9731278535996986</c:v>
                </c:pt>
                <c:pt idx="93">
                  <c:v>1.9777236052888478</c:v>
                </c:pt>
                <c:pt idx="94">
                  <c:v>1.9822712330395684</c:v>
                </c:pt>
                <c:pt idx="95">
                  <c:v>1.9867717342662448</c:v>
                </c:pt>
                <c:pt idx="96">
                  <c:v>1.9912260756924949</c:v>
                </c:pt>
                <c:pt idx="97">
                  <c:v>1.9956351945975499</c:v>
                </c:pt>
                <c:pt idx="98">
                  <c:v>2</c:v>
                </c:pt>
              </c:numCache>
            </c:numRef>
          </c:xVal>
          <c:yVal>
            <c:numRef>
              <c:f>Opt!$C$95:$CW$95</c:f>
              <c:numCache>
                <c:formatCode>0.0000</c:formatCode>
                <c:ptCount val="99"/>
                <c:pt idx="0">
                  <c:v>-1.8231220348953407</c:v>
                </c:pt>
                <c:pt idx="1">
                  <c:v>-2.7103787461018909</c:v>
                </c:pt>
                <c:pt idx="2">
                  <c:v>-2.1064771369442115</c:v>
                </c:pt>
                <c:pt idx="3">
                  <c:v>-3.0435673832518666</c:v>
                </c:pt>
                <c:pt idx="4">
                  <c:v>-2.2816132282465933</c:v>
                </c:pt>
                <c:pt idx="5">
                  <c:v>-3.2698306979321097</c:v>
                </c:pt>
                <c:pt idx="6">
                  <c:v>-2.4093145637435645</c:v>
                </c:pt>
                <c:pt idx="7">
                  <c:v>-3.4543087963188261</c:v>
                </c:pt>
                <c:pt idx="8">
                  <c:v>-2.5103953182735599</c:v>
                </c:pt>
                <c:pt idx="9">
                  <c:v>-3.6213168708635579</c:v>
                </c:pt>
                <c:pt idx="10">
                  <c:v>-2.5944524471043384</c:v>
                </c:pt>
                <c:pt idx="11">
                  <c:v>-3.7847598166163117</c:v>
                </c:pt>
                <c:pt idx="12">
                  <c:v>-2.66669922360661</c:v>
                </c:pt>
                <c:pt idx="13">
                  <c:v>-3.95682195011244</c:v>
                </c:pt>
                <c:pt idx="14">
                  <c:v>-2.7302827074110034</c:v>
                </c:pt>
                <c:pt idx="15">
                  <c:v>-4.1542091915920976</c:v>
                </c:pt>
                <c:pt idx="16">
                  <c:v>-2.7872486189625096</c:v>
                </c:pt>
                <c:pt idx="17">
                  <c:v>-4.412378394785442</c:v>
                </c:pt>
                <c:pt idx="18">
                  <c:v>-2.8390019230275354</c:v>
                </c:pt>
                <c:pt idx="19">
                  <c:v>-4.8687749785932786</c:v>
                </c:pt>
                <c:pt idx="20">
                  <c:v>-2.8865494641129588</c:v>
                </c:pt>
                <c:pt idx="21">
                  <c:v>-5.1499064214595993</c:v>
                </c:pt>
                <c:pt idx="22">
                  <c:v>-2.9306377116300033</c:v>
                </c:pt>
                <c:pt idx="23">
                  <c:v>-4.6149473907161127</c:v>
                </c:pt>
                <c:pt idx="24">
                  <c:v>-2.9718356972077733</c:v>
                </c:pt>
                <c:pt idx="25">
                  <c:v>-4.4109089590777808</c:v>
                </c:pt>
                <c:pt idx="26">
                  <c:v>-3.0105873852129013</c:v>
                </c:pt>
                <c:pt idx="27">
                  <c:v>-4.2898321013001945</c:v>
                </c:pt>
                <c:pt idx="28">
                  <c:v>-3.0472460682788913</c:v>
                </c:pt>
                <c:pt idx="29">
                  <c:v>-4.2066958645772852</c:v>
                </c:pt>
                <c:pt idx="30">
                  <c:v>-3.082097716974471</c:v>
                </c:pt>
                <c:pt idx="31">
                  <c:v>-4.1450477844822489</c:v>
                </c:pt>
                <c:pt idx="32">
                  <c:v>-3.1153772849142389</c:v>
                </c:pt>
                <c:pt idx="33">
                  <c:v>-4.0970652462070838</c:v>
                </c:pt>
                <c:pt idx="34">
                  <c:v>-3.1472803760122376</c:v>
                </c:pt>
                <c:pt idx="35">
                  <c:v>-4.0584393661284075</c:v>
                </c:pt>
                <c:pt idx="36">
                  <c:v>-3.1779717731181769</c:v>
                </c:pt>
                <c:pt idx="37">
                  <c:v>-4.0265589336638286</c:v>
                </c:pt>
                <c:pt idx="38">
                  <c:v>-3.2075917910610254</c:v>
                </c:pt>
                <c:pt idx="39">
                  <c:v>-3.9997311314611297</c:v>
                </c:pt>
                <c:pt idx="40">
                  <c:v>-3.2362610891483103</c:v>
                </c:pt>
                <c:pt idx="41">
                  <c:v>-3.9768018053875878</c:v>
                </c:pt>
                <c:pt idx="42">
                  <c:v>-3.2640843723454194</c:v>
                </c:pt>
                <c:pt idx="43">
                  <c:v>-4.0346596687397707</c:v>
                </c:pt>
                <c:pt idx="44">
                  <c:v>-3.2911532768983229</c:v>
                </c:pt>
                <c:pt idx="45">
                  <c:v>-4.3307565057973241</c:v>
                </c:pt>
                <c:pt idx="46">
                  <c:v>-3.3175486487856638</c:v>
                </c:pt>
                <c:pt idx="47">
                  <c:v>-5.113185089255408</c:v>
                </c:pt>
                <c:pt idx="48">
                  <c:v>-3.3433423637524005</c:v>
                </c:pt>
                <c:pt idx="49">
                  <c:v>-4.5903651182706504</c:v>
                </c:pt>
                <c:pt idx="50">
                  <c:v>-3.3685987969953581</c:v>
                </c:pt>
                <c:pt idx="51">
                  <c:v>-4.2649415909049271</c:v>
                </c:pt>
                <c:pt idx="52">
                  <c:v>-3.3933760225139378</c:v>
                </c:pt>
                <c:pt idx="53">
                  <c:v>-4.1026371374587383</c:v>
                </c:pt>
                <c:pt idx="54">
                  <c:v>-3.417726801502905</c:v>
                </c:pt>
                <c:pt idx="55">
                  <c:v>-3.9994471505752736</c:v>
                </c:pt>
                <c:pt idx="56">
                  <c:v>-3.4416994048720877</c:v>
                </c:pt>
                <c:pt idx="57">
                  <c:v>-3.9268424472932555</c:v>
                </c:pt>
                <c:pt idx="58">
                  <c:v>-3.4653383046083484</c:v>
                </c:pt>
                <c:pt idx="59">
                  <c:v>-3.8728292193738194</c:v>
                </c:pt>
                <c:pt idx="60">
                  <c:v>-3.4886847604235318</c:v>
                </c:pt>
                <c:pt idx="61">
                  <c:v>-3.8312315783194357</c:v>
                </c:pt>
                <c:pt idx="62">
                  <c:v>-3.5117773228540621</c:v>
                </c:pt>
                <c:pt idx="63">
                  <c:v>-3.7984559979430319</c:v>
                </c:pt>
                <c:pt idx="64">
                  <c:v>-3.5346522692686113</c:v>
                </c:pt>
                <c:pt idx="65">
                  <c:v>-3.7722318192055875</c:v>
                </c:pt>
                <c:pt idx="66">
                  <c:v>-3.5573439863348124</c:v>
                </c:pt>
                <c:pt idx="67">
                  <c:v>-3.7510361840991613</c:v>
                </c:pt>
                <c:pt idx="68">
                  <c:v>-3.5798853093182688</c:v>
                </c:pt>
                <c:pt idx="69">
                  <c:v>-3.7338006151817802</c:v>
                </c:pt>
                <c:pt idx="70">
                  <c:v>-3.6023078276300753</c:v>
                </c:pt>
                <c:pt idx="71">
                  <c:v>-3.7197484421581306</c:v>
                </c:pt>
                <c:pt idx="72">
                  <c:v>-3.6246421640959383</c:v>
                </c:pt>
                <c:pt idx="73">
                  <c:v>-3.7082987945627317</c:v>
                </c:pt>
                <c:pt idx="74">
                  <c:v>-3.6469182336778281</c:v>
                </c:pt>
                <c:pt idx="75">
                  <c:v>-3.6990069434435555</c:v>
                </c:pt>
                <c:pt idx="76">
                  <c:v>-3.6691654885256098</c:v>
                </c:pt>
                <c:pt idx="77">
                  <c:v>-3.6915256534724898</c:v>
                </c:pt>
                <c:pt idx="78">
                  <c:v>-3.6914131533413039</c:v>
                </c:pt>
                <c:pt idx="79">
                  <c:v>-3.6855792619175931</c:v>
                </c:pt>
                <c:pt idx="80">
                  <c:v>-3.7136904562384334</c:v>
                </c:pt>
                <c:pt idx="81">
                  <c:v>-3.6809457750886647</c:v>
                </c:pt>
                <c:pt idx="82">
                  <c:v>-3.7360268599371569</c:v>
                </c:pt>
                <c:pt idx="83">
                  <c:v>-3.6774441867760466</c:v>
                </c:pt>
                <c:pt idx="84">
                  <c:v>-3.7584522972956185</c:v>
                </c:pt>
                <c:pt idx="85">
                  <c:v>-3.6749252971471815</c:v>
                </c:pt>
                <c:pt idx="86">
                  <c:v>-3.7809974165883755</c:v>
                </c:pt>
                <c:pt idx="87">
                  <c:v>-3.6732649378415898</c:v>
                </c:pt>
                <c:pt idx="88">
                  <c:v>-3.8036938410029273</c:v>
                </c:pt>
                <c:pt idx="89">
                  <c:v>-3.6723588867482237</c:v>
                </c:pt>
                <c:pt idx="90">
                  <c:v>-3.8265744486611712</c:v>
                </c:pt>
                <c:pt idx="91">
                  <c:v>-3.6721189941022008</c:v>
                </c:pt>
                <c:pt idx="92">
                  <c:v>-3.8496736789309787</c:v>
                </c:pt>
                <c:pt idx="93">
                  <c:v>-3.6724701909788413</c:v>
                </c:pt>
                <c:pt idx="94">
                  <c:v>-3.8730278731513956</c:v>
                </c:pt>
                <c:pt idx="95">
                  <c:v>-3.673348151313359</c:v>
                </c:pt>
                <c:pt idx="96">
                  <c:v>-3.8966756588523492</c:v>
                </c:pt>
                <c:pt idx="97">
                  <c:v>-3.6746974444478493</c:v>
                </c:pt>
                <c:pt idx="98">
                  <c:v>-3.9206583874862169</c:v>
                </c:pt>
              </c:numCache>
            </c:numRef>
          </c:yVal>
          <c:smooth val="1"/>
          <c:extLst>
            <c:ext xmlns:c16="http://schemas.microsoft.com/office/drawing/2014/chart" uri="{C3380CC4-5D6E-409C-BE32-E72D297353CC}">
              <c16:uniqueId val="{00000001-1C7F-475D-85EB-BCD1B3FB8542}"/>
            </c:ext>
          </c:extLst>
        </c:ser>
        <c:dLbls>
          <c:showLegendKey val="0"/>
          <c:showVal val="0"/>
          <c:showCatName val="0"/>
          <c:showSerName val="0"/>
          <c:showPercent val="0"/>
          <c:showBubbleSize val="0"/>
        </c:dLbls>
        <c:axId val="1641492319"/>
        <c:axId val="1641490399"/>
      </c:scatterChart>
      <c:valAx>
        <c:axId val="1641492319"/>
        <c:scaling>
          <c:orientation val="minMax"/>
          <c:max val="2"/>
          <c:min val="0.2800000000000000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0399"/>
        <c:crosses val="autoZero"/>
        <c:crossBetween val="midCat"/>
      </c:valAx>
      <c:valAx>
        <c:axId val="1641490399"/>
        <c:scaling>
          <c:orientation val="minMax"/>
          <c:max val="-1.6567828155671278"/>
          <c:min val="-5.316245640787812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log(erreur)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2319"/>
        <c:crosses val="autoZero"/>
        <c:crossBetween val="midCat"/>
      </c:valAx>
      <c:spPr>
        <a:noFill/>
        <a:ln>
          <a:noFill/>
        </a:ln>
        <a:effectLst/>
      </c:spPr>
    </c:plotArea>
    <c:legend>
      <c:legendPos val="t"/>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aseline="0"/>
              <a:t>Put : </a:t>
            </a:r>
            <a:r>
              <a:rPr lang="en-GB" sz="1400" b="0" i="0" u="none" strike="noStrike" baseline="0"/>
              <a:t>Ordre de convergence O(1/N) du </a:t>
            </a:r>
            <a:r>
              <a:rPr lang="el-GR" sz="1400" b="0" i="0" u="none" strike="noStrike" baseline="0">
                <a:latin typeface="Aptos Narrow" panose="020B0004020202020204" pitchFamily="34" charset="0"/>
              </a:rPr>
              <a:t>Δ</a:t>
            </a:r>
            <a:r>
              <a:rPr lang="en-GB" sz="1400" b="0" i="0" u="none" strike="noStrike" baseline="0"/>
              <a:t>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log|ΔCRR-ΔBS|</c:v>
          </c:tx>
          <c:spPr>
            <a:ln w="19050" cap="rnd">
              <a:solidFill>
                <a:srgbClr val="CFCB13"/>
              </a:solidFill>
              <a:round/>
            </a:ln>
            <a:effectLst/>
          </c:spPr>
          <c:marker>
            <c:symbol val="none"/>
          </c:marker>
          <c:trendline>
            <c:name>Droite de régression (pente~-1)</c:name>
            <c:spPr>
              <a:ln w="19050" cap="rnd">
                <a:solidFill>
                  <a:srgbClr val="CFCB13"/>
                </a:solidFill>
                <a:prstDash val="sysDot"/>
              </a:ln>
              <a:effectLst/>
            </c:spPr>
            <c:trendlineType val="linear"/>
            <c:dispRSqr val="0"/>
            <c:dispEq val="1"/>
            <c:trendlineLbl>
              <c:layout>
                <c:manualLayout>
                  <c:x val="-0.69057424704490222"/>
                  <c:y val="-0.19895826551751197"/>
                </c:manualLayout>
              </c:layout>
              <c:numFmt formatCode="General" sourceLinked="0"/>
              <c:spPr>
                <a:noFill/>
                <a:ln>
                  <a:noFill/>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Opt!$C$45:$CW$45</c:f>
              <c:numCache>
                <c:formatCode>0.0000</c:formatCode>
                <c:ptCount val="99"/>
                <c:pt idx="0">
                  <c:v>0.3010299956639812</c:v>
                </c:pt>
                <c:pt idx="1">
                  <c:v>0.47712125471966244</c:v>
                </c:pt>
                <c:pt idx="2">
                  <c:v>0.6020599913279624</c:v>
                </c:pt>
                <c:pt idx="3">
                  <c:v>0.69897000433601886</c:v>
                </c:pt>
                <c:pt idx="4">
                  <c:v>0.77815125038364363</c:v>
                </c:pt>
                <c:pt idx="5">
                  <c:v>0.84509804001425681</c:v>
                </c:pt>
                <c:pt idx="6">
                  <c:v>0.90308998699194354</c:v>
                </c:pt>
                <c:pt idx="7">
                  <c:v>0.95424250943932487</c:v>
                </c:pt>
                <c:pt idx="8">
                  <c:v>1</c:v>
                </c:pt>
                <c:pt idx="9">
                  <c:v>1.0413926851582251</c:v>
                </c:pt>
                <c:pt idx="10">
                  <c:v>1.0791812460476249</c:v>
                </c:pt>
                <c:pt idx="11">
                  <c:v>1.1139433523068367</c:v>
                </c:pt>
                <c:pt idx="12">
                  <c:v>1.146128035678238</c:v>
                </c:pt>
                <c:pt idx="13">
                  <c:v>1.1760912590556813</c:v>
                </c:pt>
                <c:pt idx="14">
                  <c:v>1.2041199826559248</c:v>
                </c:pt>
                <c:pt idx="15">
                  <c:v>1.2304489213782739</c:v>
                </c:pt>
                <c:pt idx="16">
                  <c:v>1.255272505103306</c:v>
                </c:pt>
                <c:pt idx="17">
                  <c:v>1.2787536009528289</c:v>
                </c:pt>
                <c:pt idx="18">
                  <c:v>1.3010299956639813</c:v>
                </c:pt>
                <c:pt idx="19">
                  <c:v>1.3222192947339193</c:v>
                </c:pt>
                <c:pt idx="20">
                  <c:v>1.3424226808222062</c:v>
                </c:pt>
                <c:pt idx="21">
                  <c:v>1.3617278360175928</c:v>
                </c:pt>
                <c:pt idx="22">
                  <c:v>1.3802112417116059</c:v>
                </c:pt>
                <c:pt idx="23">
                  <c:v>1.3979400086720377</c:v>
                </c:pt>
                <c:pt idx="24">
                  <c:v>1.414973347970818</c:v>
                </c:pt>
                <c:pt idx="25">
                  <c:v>1.4313637641589874</c:v>
                </c:pt>
                <c:pt idx="26">
                  <c:v>1.4471580313422192</c:v>
                </c:pt>
                <c:pt idx="27">
                  <c:v>1.4623979978989561</c:v>
                </c:pt>
                <c:pt idx="28">
                  <c:v>1.4771212547196624</c:v>
                </c:pt>
                <c:pt idx="29">
                  <c:v>1.4913616938342726</c:v>
                </c:pt>
                <c:pt idx="30">
                  <c:v>1.505149978319906</c:v>
                </c:pt>
                <c:pt idx="31">
                  <c:v>1.5185139398778875</c:v>
                </c:pt>
                <c:pt idx="32">
                  <c:v>1.5314789170422551</c:v>
                </c:pt>
                <c:pt idx="33">
                  <c:v>1.5440680443502757</c:v>
                </c:pt>
                <c:pt idx="34">
                  <c:v>1.5563025007672873</c:v>
                </c:pt>
                <c:pt idx="35">
                  <c:v>1.568201724066995</c:v>
                </c:pt>
                <c:pt idx="36">
                  <c:v>1.5797835966168101</c:v>
                </c:pt>
                <c:pt idx="37">
                  <c:v>1.5910646070264991</c:v>
                </c:pt>
                <c:pt idx="38">
                  <c:v>1.6020599913279623</c:v>
                </c:pt>
                <c:pt idx="39">
                  <c:v>1.6127838567197355</c:v>
                </c:pt>
                <c:pt idx="40">
                  <c:v>1.6232492903979006</c:v>
                </c:pt>
                <c:pt idx="41">
                  <c:v>1.6334684555795864</c:v>
                </c:pt>
                <c:pt idx="42">
                  <c:v>1.6434526764861874</c:v>
                </c:pt>
                <c:pt idx="43">
                  <c:v>1.6532125137753437</c:v>
                </c:pt>
                <c:pt idx="44">
                  <c:v>1.6627578316815741</c:v>
                </c:pt>
                <c:pt idx="45">
                  <c:v>1.6720978579357175</c:v>
                </c:pt>
                <c:pt idx="46">
                  <c:v>1.6812412373755872</c:v>
                </c:pt>
                <c:pt idx="47">
                  <c:v>1.6901960800285136</c:v>
                </c:pt>
                <c:pt idx="48">
                  <c:v>1.6989700043360187</c:v>
                </c:pt>
                <c:pt idx="49">
                  <c:v>1.7075701760979363</c:v>
                </c:pt>
                <c:pt idx="50">
                  <c:v>1.7160033436347992</c:v>
                </c:pt>
                <c:pt idx="51">
                  <c:v>1.7242758696007889</c:v>
                </c:pt>
                <c:pt idx="52">
                  <c:v>1.7323937598229686</c:v>
                </c:pt>
                <c:pt idx="53">
                  <c:v>1.7403626894942439</c:v>
                </c:pt>
                <c:pt idx="54">
                  <c:v>1.7481880270062005</c:v>
                </c:pt>
                <c:pt idx="55">
                  <c:v>1.7558748556724915</c:v>
                </c:pt>
                <c:pt idx="56">
                  <c:v>1.7634279935629373</c:v>
                </c:pt>
                <c:pt idx="57">
                  <c:v>1.7708520116421442</c:v>
                </c:pt>
                <c:pt idx="58">
                  <c:v>1.7781512503836436</c:v>
                </c:pt>
                <c:pt idx="59">
                  <c:v>1.7853298350107671</c:v>
                </c:pt>
                <c:pt idx="60">
                  <c:v>1.7923916894982539</c:v>
                </c:pt>
                <c:pt idx="61">
                  <c:v>1.7993405494535817</c:v>
                </c:pt>
                <c:pt idx="62">
                  <c:v>1.8061799739838871</c:v>
                </c:pt>
                <c:pt idx="63">
                  <c:v>1.8129133566428555</c:v>
                </c:pt>
                <c:pt idx="64">
                  <c:v>1.8195439355418688</c:v>
                </c:pt>
                <c:pt idx="65">
                  <c:v>1.8260748027008264</c:v>
                </c:pt>
                <c:pt idx="66">
                  <c:v>1.8325089127062364</c:v>
                </c:pt>
                <c:pt idx="67">
                  <c:v>1.8388490907372552</c:v>
                </c:pt>
                <c:pt idx="68">
                  <c:v>1.8450980400142569</c:v>
                </c:pt>
                <c:pt idx="69">
                  <c:v>1.8512583487190752</c:v>
                </c:pt>
                <c:pt idx="70">
                  <c:v>1.8573324964312685</c:v>
                </c:pt>
                <c:pt idx="71">
                  <c:v>1.8633228601204559</c:v>
                </c:pt>
                <c:pt idx="72">
                  <c:v>1.8692317197309762</c:v>
                </c:pt>
                <c:pt idx="73">
                  <c:v>1.8750612633917001</c:v>
                </c:pt>
                <c:pt idx="74">
                  <c:v>1.8808135922807914</c:v>
                </c:pt>
                <c:pt idx="75">
                  <c:v>1.8864907251724818</c:v>
                </c:pt>
                <c:pt idx="76">
                  <c:v>1.8920946026904804</c:v>
                </c:pt>
                <c:pt idx="77">
                  <c:v>1.8976270912904414</c:v>
                </c:pt>
                <c:pt idx="78">
                  <c:v>1.9030899869919435</c:v>
                </c:pt>
                <c:pt idx="79">
                  <c:v>1.9084850188786497</c:v>
                </c:pt>
                <c:pt idx="80">
                  <c:v>1.9138138523837167</c:v>
                </c:pt>
                <c:pt idx="81">
                  <c:v>1.919078092376074</c:v>
                </c:pt>
                <c:pt idx="82">
                  <c:v>1.9242792860618816</c:v>
                </c:pt>
                <c:pt idx="83">
                  <c:v>1.9294189257142926</c:v>
                </c:pt>
                <c:pt idx="84">
                  <c:v>1.9344984512435677</c:v>
                </c:pt>
                <c:pt idx="85">
                  <c:v>1.9395192526186185</c:v>
                </c:pt>
                <c:pt idx="86">
                  <c:v>1.9444826721501687</c:v>
                </c:pt>
                <c:pt idx="87">
                  <c:v>1.9493900066449128</c:v>
                </c:pt>
                <c:pt idx="88">
                  <c:v>1.954242509439325</c:v>
                </c:pt>
                <c:pt idx="89">
                  <c:v>1.9590413923210936</c:v>
                </c:pt>
                <c:pt idx="90">
                  <c:v>1.9637878273455553</c:v>
                </c:pt>
                <c:pt idx="91">
                  <c:v>1.968482948553935</c:v>
                </c:pt>
                <c:pt idx="92">
                  <c:v>1.9731278535996986</c:v>
                </c:pt>
                <c:pt idx="93">
                  <c:v>1.9777236052888478</c:v>
                </c:pt>
                <c:pt idx="94">
                  <c:v>1.9822712330395684</c:v>
                </c:pt>
                <c:pt idx="95">
                  <c:v>1.9867717342662448</c:v>
                </c:pt>
                <c:pt idx="96">
                  <c:v>1.9912260756924949</c:v>
                </c:pt>
                <c:pt idx="97">
                  <c:v>1.9956351945975499</c:v>
                </c:pt>
                <c:pt idx="98">
                  <c:v>2</c:v>
                </c:pt>
              </c:numCache>
            </c:numRef>
          </c:xVal>
          <c:yVal>
            <c:numRef>
              <c:f>Opt!$C$97:$CW$97</c:f>
              <c:numCache>
                <c:formatCode>0.0000</c:formatCode>
                <c:ptCount val="99"/>
                <c:pt idx="0">
                  <c:v>-1.8231220348953281</c:v>
                </c:pt>
                <c:pt idx="1">
                  <c:v>-2.7103787461019033</c:v>
                </c:pt>
                <c:pt idx="2">
                  <c:v>-2.1064771369441804</c:v>
                </c:pt>
                <c:pt idx="3">
                  <c:v>-3.0435673832519465</c:v>
                </c:pt>
                <c:pt idx="4">
                  <c:v>-2.2816132282466071</c:v>
                </c:pt>
                <c:pt idx="5">
                  <c:v>-3.2698306979326031</c:v>
                </c:pt>
                <c:pt idx="6">
                  <c:v>-2.4093145637437687</c:v>
                </c:pt>
                <c:pt idx="7">
                  <c:v>-3.4543087963183456</c:v>
                </c:pt>
                <c:pt idx="8">
                  <c:v>-2.5103953182733569</c:v>
                </c:pt>
                <c:pt idx="9">
                  <c:v>-3.6213168708668846</c:v>
                </c:pt>
                <c:pt idx="10">
                  <c:v>-2.5944524471044992</c:v>
                </c:pt>
                <c:pt idx="11">
                  <c:v>-3.7847598166189553</c:v>
                </c:pt>
                <c:pt idx="12">
                  <c:v>-2.6666992236068228</c:v>
                </c:pt>
                <c:pt idx="13">
                  <c:v>-3.9568219501141861</c:v>
                </c:pt>
                <c:pt idx="14">
                  <c:v>-2.7302827074110425</c:v>
                </c:pt>
                <c:pt idx="15">
                  <c:v>-4.1542091915883148</c:v>
                </c:pt>
                <c:pt idx="16">
                  <c:v>-2.7872486189622734</c:v>
                </c:pt>
                <c:pt idx="17">
                  <c:v>-4.4123783947337261</c:v>
                </c:pt>
                <c:pt idx="18">
                  <c:v>-2.8390019230276353</c:v>
                </c:pt>
                <c:pt idx="19">
                  <c:v>-4.8687749786235752</c:v>
                </c:pt>
                <c:pt idx="20">
                  <c:v>-2.8865494641123277</c:v>
                </c:pt>
                <c:pt idx="21">
                  <c:v>-5.1499064213302228</c:v>
                </c:pt>
                <c:pt idx="22">
                  <c:v>-2.9306377116307636</c:v>
                </c:pt>
                <c:pt idx="23">
                  <c:v>-4.6149473907061793</c:v>
                </c:pt>
                <c:pt idx="24">
                  <c:v>-2.971835697206779</c:v>
                </c:pt>
                <c:pt idx="25">
                  <c:v>-4.4109089590821275</c:v>
                </c:pt>
                <c:pt idx="26">
                  <c:v>-3.0105873852138401</c:v>
                </c:pt>
                <c:pt idx="27">
                  <c:v>-4.2898321013180505</c:v>
                </c:pt>
                <c:pt idx="28">
                  <c:v>-3.0472460682786493</c:v>
                </c:pt>
                <c:pt idx="29">
                  <c:v>-4.2066958645489594</c:v>
                </c:pt>
                <c:pt idx="30">
                  <c:v>-3.0820977169729855</c:v>
                </c:pt>
                <c:pt idx="31">
                  <c:v>-4.1450477844778719</c:v>
                </c:pt>
                <c:pt idx="32">
                  <c:v>-3.1153772849140817</c:v>
                </c:pt>
                <c:pt idx="33">
                  <c:v>-4.0970652462173343</c:v>
                </c:pt>
                <c:pt idx="34">
                  <c:v>-3.1472803760108841</c:v>
                </c:pt>
                <c:pt idx="35">
                  <c:v>-4.0584393661044125</c:v>
                </c:pt>
                <c:pt idx="36">
                  <c:v>-3.1779717731174508</c:v>
                </c:pt>
                <c:pt idx="37">
                  <c:v>-4.0265589336556271</c:v>
                </c:pt>
                <c:pt idx="38">
                  <c:v>-3.2075917910605591</c:v>
                </c:pt>
                <c:pt idx="39">
                  <c:v>-3.9997311314587205</c:v>
                </c:pt>
                <c:pt idx="40">
                  <c:v>-3.2362610891531287</c:v>
                </c:pt>
                <c:pt idx="41">
                  <c:v>-3.9768018054184409</c:v>
                </c:pt>
                <c:pt idx="42">
                  <c:v>-3.2640843723466149</c:v>
                </c:pt>
                <c:pt idx="43">
                  <c:v>-4.0346596687502148</c:v>
                </c:pt>
                <c:pt idx="44">
                  <c:v>-3.2911532768925729</c:v>
                </c:pt>
                <c:pt idx="45">
                  <c:v>-4.3307565057869972</c:v>
                </c:pt>
                <c:pt idx="46">
                  <c:v>-3.3175486487848627</c:v>
                </c:pt>
                <c:pt idx="47">
                  <c:v>-5.1131850894149666</c:v>
                </c:pt>
                <c:pt idx="48">
                  <c:v>-3.3433423637458097</c:v>
                </c:pt>
                <c:pt idx="49">
                  <c:v>-4.5903651183297889</c:v>
                </c:pt>
                <c:pt idx="50">
                  <c:v>-3.368598796991471</c:v>
                </c:pt>
                <c:pt idx="51">
                  <c:v>-4.2649415909328816</c:v>
                </c:pt>
                <c:pt idx="52">
                  <c:v>-3.3933760225148322</c:v>
                </c:pt>
                <c:pt idx="53">
                  <c:v>-4.1026371374370587</c:v>
                </c:pt>
                <c:pt idx="54">
                  <c:v>-3.4177268015100331</c:v>
                </c:pt>
                <c:pt idx="55">
                  <c:v>-3.9994471505709397</c:v>
                </c:pt>
                <c:pt idx="56">
                  <c:v>-3.4416994048714877</c:v>
                </c:pt>
                <c:pt idx="57">
                  <c:v>-3.9268424472881631</c:v>
                </c:pt>
                <c:pt idx="58">
                  <c:v>-3.4653383046040549</c:v>
                </c:pt>
                <c:pt idx="59">
                  <c:v>-3.8728292193597884</c:v>
                </c:pt>
                <c:pt idx="60">
                  <c:v>-3.4886847604164757</c:v>
                </c:pt>
                <c:pt idx="61">
                  <c:v>-3.8312315783354545</c:v>
                </c:pt>
                <c:pt idx="62">
                  <c:v>-3.5117773228510072</c:v>
                </c:pt>
                <c:pt idx="63">
                  <c:v>-3.7984559979698602</c:v>
                </c:pt>
                <c:pt idx="64">
                  <c:v>-3.5346522692725748</c:v>
                </c:pt>
                <c:pt idx="65">
                  <c:v>-3.772231819193316</c:v>
                </c:pt>
                <c:pt idx="66">
                  <c:v>-3.5573439863396845</c:v>
                </c:pt>
                <c:pt idx="67">
                  <c:v>-3.7510361840961717</c:v>
                </c:pt>
                <c:pt idx="68">
                  <c:v>-3.5798853093111216</c:v>
                </c:pt>
                <c:pt idx="69">
                  <c:v>-3.7338006152054199</c:v>
                </c:pt>
                <c:pt idx="70">
                  <c:v>-3.6023078276491796</c:v>
                </c:pt>
                <c:pt idx="71">
                  <c:v>-3.7197484421539575</c:v>
                </c:pt>
                <c:pt idx="72">
                  <c:v>-3.6246421640865929</c:v>
                </c:pt>
                <c:pt idx="73">
                  <c:v>-3.7082987945448735</c:v>
                </c:pt>
                <c:pt idx="74">
                  <c:v>-3.6469182336726957</c:v>
                </c:pt>
                <c:pt idx="75">
                  <c:v>-3.6990069434300539</c:v>
                </c:pt>
                <c:pt idx="76">
                  <c:v>-3.6691654885378773</c:v>
                </c:pt>
                <c:pt idx="77">
                  <c:v>-3.6915256534710679</c:v>
                </c:pt>
                <c:pt idx="78">
                  <c:v>-3.6914131533608501</c:v>
                </c:pt>
                <c:pt idx="79">
                  <c:v>-3.6855792619289307</c:v>
                </c:pt>
                <c:pt idx="80">
                  <c:v>-3.7136904562391817</c:v>
                </c:pt>
                <c:pt idx="81">
                  <c:v>-3.6809457750823045</c:v>
                </c:pt>
                <c:pt idx="82">
                  <c:v>-3.7360268599303308</c:v>
                </c:pt>
                <c:pt idx="83">
                  <c:v>-3.6774441867384211</c:v>
                </c:pt>
                <c:pt idx="84">
                  <c:v>-3.7584522972992125</c:v>
                </c:pt>
                <c:pt idx="85">
                  <c:v>-3.6749252971519715</c:v>
                </c:pt>
                <c:pt idx="86">
                  <c:v>-3.7809974165726508</c:v>
                </c:pt>
                <c:pt idx="87">
                  <c:v>-3.6732649378397717</c:v>
                </c:pt>
                <c:pt idx="88">
                  <c:v>-3.8036938410308485</c:v>
                </c:pt>
                <c:pt idx="89">
                  <c:v>-3.6723588867494708</c:v>
                </c:pt>
                <c:pt idx="90">
                  <c:v>-3.8265744486631115</c:v>
                </c:pt>
                <c:pt idx="91">
                  <c:v>-3.6721189940939287</c:v>
                </c:pt>
                <c:pt idx="92">
                  <c:v>-3.8496736788972106</c:v>
                </c:pt>
                <c:pt idx="93">
                  <c:v>-3.6724701909807691</c:v>
                </c:pt>
                <c:pt idx="94">
                  <c:v>-3.8730278731535552</c:v>
                </c:pt>
                <c:pt idx="95">
                  <c:v>-3.6733481513025636</c:v>
                </c:pt>
                <c:pt idx="96">
                  <c:v>-3.8966756588719229</c:v>
                </c:pt>
                <c:pt idx="97">
                  <c:v>-3.6746974444492171</c:v>
                </c:pt>
                <c:pt idx="98">
                  <c:v>-3.9206583874910366</c:v>
                </c:pt>
              </c:numCache>
            </c:numRef>
          </c:yVal>
          <c:smooth val="1"/>
          <c:extLst>
            <c:ext xmlns:c16="http://schemas.microsoft.com/office/drawing/2014/chart" uri="{C3380CC4-5D6E-409C-BE32-E72D297353CC}">
              <c16:uniqueId val="{00000001-4617-4452-ABA2-5F02C7ADE5CE}"/>
            </c:ext>
          </c:extLst>
        </c:ser>
        <c:dLbls>
          <c:showLegendKey val="0"/>
          <c:showVal val="0"/>
          <c:showCatName val="0"/>
          <c:showSerName val="0"/>
          <c:showPercent val="0"/>
          <c:showBubbleSize val="0"/>
        </c:dLbls>
        <c:axId val="1641492319"/>
        <c:axId val="1641490399"/>
      </c:scatterChart>
      <c:valAx>
        <c:axId val="1641492319"/>
        <c:scaling>
          <c:orientation val="minMax"/>
          <c:max val="2"/>
          <c:min val="0.2800000000000000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0399"/>
        <c:crosses val="autoZero"/>
        <c:crossBetween val="midCat"/>
      </c:valAx>
      <c:valAx>
        <c:axId val="1641490399"/>
        <c:scaling>
          <c:orientation val="minMax"/>
          <c:max val="-1.6567828155735833"/>
          <c:min val="-5.316245640651967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log(erreur)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2319"/>
        <c:crosses val="autoZero"/>
        <c:crossBetween val="midCat"/>
      </c:valAx>
      <c:spPr>
        <a:noFill/>
        <a:ln>
          <a:noFill/>
        </a:ln>
        <a:effectLst/>
      </c:spPr>
    </c:plotArea>
    <c:legend>
      <c:legendPos val="t"/>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aseline="0"/>
              <a:t>Prix en fonction de 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CRR</c:v>
          </c:tx>
          <c:spPr>
            <a:ln w="19050" cap="rnd">
              <a:solidFill>
                <a:schemeClr val="accent1"/>
              </a:solidFill>
              <a:round/>
            </a:ln>
            <a:effectLst/>
          </c:spPr>
          <c:marker>
            <c:symbol val="none"/>
          </c:marker>
          <c:xVal>
            <c:numRef>
              <c:f>[0]!XPcrr</c:f>
              <c:numCache>
                <c:formatCode>General</c:formatCode>
                <c:ptCount val="99"/>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numCache>
            </c:numRef>
          </c:xVal>
          <c:yVal>
            <c:numRef>
              <c:f>[0]!YPcrr</c:f>
              <c:numCache>
                <c:formatCode>General</c:formatCode>
                <c:ptCount val="99"/>
                <c:pt idx="0">
                  <c:v>0.47590719809637128</c:v>
                </c:pt>
                <c:pt idx="1">
                  <c:v>0.35685806300967937</c:v>
                </c:pt>
                <c:pt idx="2">
                  <c:v>0.35682160320643252</c:v>
                </c:pt>
                <c:pt idx="3">
                  <c:v>0.29733302737710898</c:v>
                </c:pt>
                <c:pt idx="4">
                  <c:v>0.29732078862188821</c:v>
                </c:pt>
                <c:pt idx="5">
                  <c:v>0.26014802662237863</c:v>
                </c:pt>
                <c:pt idx="6">
                  <c:v>0.46825608828450149</c:v>
                </c:pt>
                <c:pt idx="7">
                  <c:v>0.23412401123352164</c:v>
                </c:pt>
                <c:pt idx="8">
                  <c:v>0.42922143418123482</c:v>
                </c:pt>
                <c:pt idx="9">
                  <c:v>0.21460829378255147</c:v>
                </c:pt>
                <c:pt idx="10">
                  <c:v>0.39855450748761417</c:v>
                </c:pt>
                <c:pt idx="11">
                  <c:v>0.19927566546873737</c:v>
                </c:pt>
                <c:pt idx="12">
                  <c:v>0.37363931917829907</c:v>
                </c:pt>
                <c:pt idx="13">
                  <c:v>0.18681855266965988</c:v>
                </c:pt>
                <c:pt idx="14">
                  <c:v>0.35287765835134993</c:v>
                </c:pt>
                <c:pt idx="15">
                  <c:v>0.31758843888952609</c:v>
                </c:pt>
                <c:pt idx="16">
                  <c:v>0.33523087684440517</c:v>
                </c:pt>
                <c:pt idx="17">
                  <c:v>0.30475423272067531</c:v>
                </c:pt>
                <c:pt idx="18">
                  <c:v>0.31999089534399677</c:v>
                </c:pt>
                <c:pt idx="19">
                  <c:v>0.29332411724182467</c:v>
                </c:pt>
                <c:pt idx="20">
                  <c:v>0.30665620453064463</c:v>
                </c:pt>
                <c:pt idx="21">
                  <c:v>0.28306656851239198</c:v>
                </c:pt>
                <c:pt idx="22">
                  <c:v>0.29486034304775283</c:v>
                </c:pt>
                <c:pt idx="23">
                  <c:v>0.27379832110838548</c:v>
                </c:pt>
                <c:pt idx="24">
                  <c:v>0.28432848040724379</c:v>
                </c:pt>
                <c:pt idx="25">
                  <c:v>0.26537277703645962</c:v>
                </c:pt>
                <c:pt idx="26">
                  <c:v>0.38265743571728011</c:v>
                </c:pt>
                <c:pt idx="27">
                  <c:v>0.25767140695324853</c:v>
                </c:pt>
                <c:pt idx="28">
                  <c:v>0.37235991115691519</c:v>
                </c:pt>
                <c:pt idx="29">
                  <c:v>0.25059737888168493</c:v>
                </c:pt>
                <c:pt idx="30">
                  <c:v>0.36284366525937101</c:v>
                </c:pt>
                <c:pt idx="31">
                  <c:v>0.24407081025575403</c:v>
                </c:pt>
                <c:pt idx="32">
                  <c:v>0.35401562682944382</c:v>
                </c:pt>
                <c:pt idx="33">
                  <c:v>0.23802519859091664</c:v>
                </c:pt>
                <c:pt idx="34">
                  <c:v>0.34579737665424171</c:v>
                </c:pt>
                <c:pt idx="35">
                  <c:v>0.23240471135175578</c:v>
                </c:pt>
                <c:pt idx="36">
                  <c:v>0.33812234388607265</c:v>
                </c:pt>
                <c:pt idx="37">
                  <c:v>0.227162106948333</c:v>
                </c:pt>
                <c:pt idx="38">
                  <c:v>0.33093362289816147</c:v>
                </c:pt>
                <c:pt idx="39">
                  <c:v>0.22225712363280631</c:v>
                </c:pt>
                <c:pt idx="40">
                  <c:v>0.32418225697759162</c:v>
                </c:pt>
                <c:pt idx="41">
                  <c:v>0.21765521871628896</c:v>
                </c:pt>
                <c:pt idx="42">
                  <c:v>0.31782587676221052</c:v>
                </c:pt>
                <c:pt idx="43">
                  <c:v>0.4103290250367983</c:v>
                </c:pt>
                <c:pt idx="44">
                  <c:v>0.3118276108376985</c:v>
                </c:pt>
                <c:pt idx="45">
                  <c:v>0.40306545728310661</c:v>
                </c:pt>
                <c:pt idx="46">
                  <c:v>0.30615520705938426</c:v>
                </c:pt>
                <c:pt idx="47">
                  <c:v>0.39617215394215616</c:v>
                </c:pt>
                <c:pt idx="48">
                  <c:v>0.30078031846123005</c:v>
                </c:pt>
                <c:pt idx="49">
                  <c:v>0.38961888426002639</c:v>
                </c:pt>
                <c:pt idx="50">
                  <c:v>0.2956779187843977</c:v>
                </c:pt>
                <c:pt idx="51">
                  <c:v>0.38337874174742054</c:v>
                </c:pt>
                <c:pt idx="52">
                  <c:v>0.29082582088999293</c:v>
                </c:pt>
                <c:pt idx="53">
                  <c:v>0.37742769161530965</c:v>
                </c:pt>
                <c:pt idx="54">
                  <c:v>0.2862042774424014</c:v>
                </c:pt>
                <c:pt idx="55">
                  <c:v>0.37174419078487908</c:v>
                </c:pt>
                <c:pt idx="56">
                  <c:v>0.28179564784238215</c:v>
                </c:pt>
                <c:pt idx="57">
                  <c:v>0.36630886720561373</c:v>
                </c:pt>
                <c:pt idx="58">
                  <c:v>0.2775841188634619</c:v>
                </c:pt>
                <c:pt idx="59">
                  <c:v>0.36110424791612139</c:v>
                </c:pt>
                <c:pt idx="60">
                  <c:v>0.34567040860490511</c:v>
                </c:pt>
                <c:pt idx="61">
                  <c:v>0.3561145273810688</c:v>
                </c:pt>
                <c:pt idx="62">
                  <c:v>0.34131441935726947</c:v>
                </c:pt>
                <c:pt idx="63">
                  <c:v>0.35132536927962305</c:v>
                </c:pt>
                <c:pt idx="64">
                  <c:v>0.33711687650539368</c:v>
                </c:pt>
                <c:pt idx="65">
                  <c:v>0.34672373621317348</c:v>
                </c:pt>
                <c:pt idx="66">
                  <c:v>0.33306855053799123</c:v>
                </c:pt>
                <c:pt idx="67">
                  <c:v>0.3422977428238006</c:v>
                </c:pt>
                <c:pt idx="68">
                  <c:v>0.32916093354312875</c:v>
                </c:pt>
                <c:pt idx="69">
                  <c:v>0.33803652863040273</c:v>
                </c:pt>
                <c:pt idx="70">
                  <c:v>0.32538616990790631</c:v>
                </c:pt>
                <c:pt idx="71">
                  <c:v>0.33393014754234507</c:v>
                </c:pt>
                <c:pt idx="72">
                  <c:v>0.32173699474617473</c:v>
                </c:pt>
                <c:pt idx="73">
                  <c:v>0.32996947153639739</c:v>
                </c:pt>
                <c:pt idx="74">
                  <c:v>0.31820667909561701</c:v>
                </c:pt>
                <c:pt idx="75">
                  <c:v>0.32614610640844022</c:v>
                </c:pt>
                <c:pt idx="76">
                  <c:v>0.31478898105278758</c:v>
                </c:pt>
                <c:pt idx="77">
                  <c:v>0.3224523178573</c:v>
                </c:pt>
                <c:pt idx="78">
                  <c:v>0.31147810212425803</c:v>
                </c:pt>
                <c:pt idx="79">
                  <c:v>0.31888096644098401</c:v>
                </c:pt>
                <c:pt idx="80">
                  <c:v>0.30826864816722055</c:v>
                </c:pt>
                <c:pt idx="81">
                  <c:v>0.31542545017765544</c:v>
                </c:pt>
                <c:pt idx="82">
                  <c:v>0.30515559437474049</c:v>
                </c:pt>
                <c:pt idx="83">
                  <c:v>0.37379457184737047</c:v>
                </c:pt>
                <c:pt idx="84">
                  <c:v>0.30213425383169745</c:v>
                </c:pt>
                <c:pt idx="85">
                  <c:v>0.37024094352043907</c:v>
                </c:pt>
                <c:pt idx="86">
                  <c:v>0.29920024922820382</c:v>
                </c:pt>
                <c:pt idx="87">
                  <c:v>0.36678594017287075</c:v>
                </c:pt>
                <c:pt idx="88">
                  <c:v>0.29634948737012379</c:v>
                </c:pt>
                <c:pt idx="89">
                  <c:v>0.36342512385816195</c:v>
                </c:pt>
                <c:pt idx="90">
                  <c:v>0.29357813617173556</c:v>
                </c:pt>
                <c:pt idx="91">
                  <c:v>0.36015432849359746</c:v>
                </c:pt>
                <c:pt idx="92">
                  <c:v>0.29088260385463388</c:v>
                </c:pt>
                <c:pt idx="93">
                  <c:v>0.35696963905120976</c:v>
                </c:pt>
                <c:pt idx="94">
                  <c:v>0.28825952011133149</c:v>
                </c:pt>
                <c:pt idx="95">
                  <c:v>0.3538673726391296</c:v>
                </c:pt>
                <c:pt idx="96">
                  <c:v>0.28570571902113945</c:v>
                </c:pt>
                <c:pt idx="97">
                  <c:v>0.35084406127633322</c:v>
                </c:pt>
                <c:pt idx="98">
                  <c:v>0.2832182235316032</c:v>
                </c:pt>
              </c:numCache>
            </c:numRef>
          </c:yVal>
          <c:smooth val="1"/>
          <c:extLst>
            <c:ext xmlns:c16="http://schemas.microsoft.com/office/drawing/2014/chart" uri="{C3380CC4-5D6E-409C-BE32-E72D297353CC}">
              <c16:uniqueId val="{00000000-9BA0-46F4-B604-58ADFF26B45B}"/>
            </c:ext>
          </c:extLst>
        </c:ser>
        <c:ser>
          <c:idx val="1"/>
          <c:order val="1"/>
          <c:tx>
            <c:v>Limite</c:v>
          </c:tx>
          <c:spPr>
            <a:ln w="19050" cap="rnd">
              <a:solidFill>
                <a:schemeClr val="accent2"/>
              </a:solidFill>
              <a:round/>
            </a:ln>
            <a:effectLst/>
          </c:spPr>
          <c:marker>
            <c:symbol val="none"/>
          </c:marker>
          <c:xVal>
            <c:numRef>
              <c:f>[0]!XPlim</c:f>
              <c:numCache>
                <c:formatCode>General</c:formatCode>
                <c:ptCount val="2"/>
                <c:pt idx="0">
                  <c:v>2</c:v>
                </c:pt>
                <c:pt idx="1">
                  <c:v>100</c:v>
                </c:pt>
              </c:numCache>
            </c:numRef>
          </c:xVal>
          <c:yVal>
            <c:numRef>
              <c:f>[0]!YPlim</c:f>
              <c:numCache>
                <c:formatCode>General</c:formatCode>
                <c:ptCount val="2"/>
                <c:pt idx="0">
                  <c:v>0.32006076233749758</c:v>
                </c:pt>
                <c:pt idx="1">
                  <c:v>0.32006076233749758</c:v>
                </c:pt>
              </c:numCache>
            </c:numRef>
          </c:yVal>
          <c:smooth val="1"/>
          <c:extLst>
            <c:ext xmlns:c16="http://schemas.microsoft.com/office/drawing/2014/chart" uri="{C3380CC4-5D6E-409C-BE32-E72D297353CC}">
              <c16:uniqueId val="{00000001-9BA0-46F4-B604-58ADFF26B45B}"/>
            </c:ext>
          </c:extLst>
        </c:ser>
        <c:dLbls>
          <c:showLegendKey val="0"/>
          <c:showVal val="0"/>
          <c:showCatName val="0"/>
          <c:showSerName val="0"/>
          <c:showPercent val="0"/>
          <c:showBubbleSize val="0"/>
        </c:dLbls>
        <c:axId val="1171083999"/>
        <c:axId val="758543631"/>
      </c:scatterChart>
      <c:valAx>
        <c:axId val="1171083999"/>
        <c:scaling>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543631"/>
        <c:crosses val="autoZero"/>
        <c:crossBetween val="midCat"/>
      </c:valAx>
      <c:valAx>
        <c:axId val="758543631"/>
        <c:scaling>
          <c:orientation val="minMax"/>
          <c:max val="0.49036163036770686"/>
          <c:min val="0.1723641203983243"/>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Prix</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08399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Ordre de convergence du prix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log|PrixCRR-PrixLimite|</c:v>
          </c:tx>
          <c:spPr>
            <a:ln w="19050" cap="rnd">
              <a:solidFill>
                <a:srgbClr val="3B7D23"/>
              </a:solidFill>
              <a:round/>
            </a:ln>
            <a:effectLst/>
          </c:spPr>
          <c:marker>
            <c:symbol val="none"/>
          </c:marker>
          <c:trendline>
            <c:name>Droite de régression</c:name>
            <c:spPr>
              <a:ln w="19050" cap="rnd">
                <a:solidFill>
                  <a:srgbClr val="4EA72E">
                    <a:lumMod val="75000"/>
                  </a:srgbClr>
                </a:solidFill>
                <a:prstDash val="sysDot"/>
              </a:ln>
              <a:effectLst/>
            </c:spPr>
            <c:trendlineType val="linear"/>
            <c:dispRSqr val="0"/>
            <c:dispEq val="1"/>
            <c:trendlineLbl>
              <c:layout>
                <c:manualLayout>
                  <c:x val="-0.45694580191040934"/>
                  <c:y val="-4.9610767620494226E-2"/>
                </c:manualLayout>
              </c:layout>
              <c:numFmt formatCode="General" sourceLinked="0"/>
              <c:spPr>
                <a:noFill/>
                <a:ln>
                  <a:noFill/>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[0]!XPconv</c:f>
              <c:numCache>
                <c:formatCode>General</c:formatCode>
                <c:ptCount val="99"/>
                <c:pt idx="0">
                  <c:v>0.3010299956639812</c:v>
                </c:pt>
                <c:pt idx="1">
                  <c:v>0.47712125471966244</c:v>
                </c:pt>
                <c:pt idx="2">
                  <c:v>0.6020599913279624</c:v>
                </c:pt>
                <c:pt idx="3">
                  <c:v>0.69897000433601886</c:v>
                </c:pt>
                <c:pt idx="4">
                  <c:v>0.77815125038364363</c:v>
                </c:pt>
                <c:pt idx="5">
                  <c:v>0.84509804001425681</c:v>
                </c:pt>
                <c:pt idx="6">
                  <c:v>0.90308998699194354</c:v>
                </c:pt>
                <c:pt idx="7">
                  <c:v>0.95424250943932487</c:v>
                </c:pt>
                <c:pt idx="8">
                  <c:v>1</c:v>
                </c:pt>
                <c:pt idx="9">
                  <c:v>1.0413926851582251</c:v>
                </c:pt>
                <c:pt idx="10">
                  <c:v>1.0791812460476249</c:v>
                </c:pt>
                <c:pt idx="11">
                  <c:v>1.1139433523068367</c:v>
                </c:pt>
                <c:pt idx="12">
                  <c:v>1.146128035678238</c:v>
                </c:pt>
                <c:pt idx="13">
                  <c:v>1.1760912590556813</c:v>
                </c:pt>
                <c:pt idx="14">
                  <c:v>1.2041199826559248</c:v>
                </c:pt>
                <c:pt idx="15">
                  <c:v>1.2304489213782739</c:v>
                </c:pt>
                <c:pt idx="16">
                  <c:v>1.255272505103306</c:v>
                </c:pt>
                <c:pt idx="17">
                  <c:v>1.2787536009528289</c:v>
                </c:pt>
                <c:pt idx="18">
                  <c:v>1.3010299956639813</c:v>
                </c:pt>
                <c:pt idx="19">
                  <c:v>1.3222192947339193</c:v>
                </c:pt>
                <c:pt idx="20">
                  <c:v>1.3424226808222062</c:v>
                </c:pt>
                <c:pt idx="21">
                  <c:v>1.3617278360175928</c:v>
                </c:pt>
                <c:pt idx="22">
                  <c:v>1.3802112417116059</c:v>
                </c:pt>
                <c:pt idx="23">
                  <c:v>1.3979400086720377</c:v>
                </c:pt>
                <c:pt idx="24">
                  <c:v>1.414973347970818</c:v>
                </c:pt>
                <c:pt idx="25">
                  <c:v>1.4313637641589874</c:v>
                </c:pt>
                <c:pt idx="26">
                  <c:v>1.4471580313422192</c:v>
                </c:pt>
                <c:pt idx="27">
                  <c:v>1.4623979978989561</c:v>
                </c:pt>
                <c:pt idx="28">
                  <c:v>1.4771212547196624</c:v>
                </c:pt>
                <c:pt idx="29">
                  <c:v>1.4913616938342726</c:v>
                </c:pt>
                <c:pt idx="30">
                  <c:v>1.505149978319906</c:v>
                </c:pt>
                <c:pt idx="31">
                  <c:v>1.5185139398778875</c:v>
                </c:pt>
                <c:pt idx="32">
                  <c:v>1.5314789170422551</c:v>
                </c:pt>
                <c:pt idx="33">
                  <c:v>1.5440680443502757</c:v>
                </c:pt>
                <c:pt idx="34">
                  <c:v>1.5563025007672873</c:v>
                </c:pt>
                <c:pt idx="35">
                  <c:v>1.568201724066995</c:v>
                </c:pt>
                <c:pt idx="36">
                  <c:v>1.5797835966168101</c:v>
                </c:pt>
                <c:pt idx="37">
                  <c:v>1.5910646070264991</c:v>
                </c:pt>
                <c:pt idx="38">
                  <c:v>1.6020599913279623</c:v>
                </c:pt>
                <c:pt idx="39">
                  <c:v>1.6127838567197355</c:v>
                </c:pt>
                <c:pt idx="40">
                  <c:v>1.6232492903979006</c:v>
                </c:pt>
                <c:pt idx="41">
                  <c:v>1.6334684555795864</c:v>
                </c:pt>
                <c:pt idx="42">
                  <c:v>1.6434526764861874</c:v>
                </c:pt>
                <c:pt idx="43">
                  <c:v>1.6532125137753437</c:v>
                </c:pt>
                <c:pt idx="44">
                  <c:v>1.6627578316815741</c:v>
                </c:pt>
                <c:pt idx="45">
                  <c:v>1.6720978579357175</c:v>
                </c:pt>
                <c:pt idx="46">
                  <c:v>1.6812412373755872</c:v>
                </c:pt>
                <c:pt idx="47">
                  <c:v>1.6901960800285136</c:v>
                </c:pt>
                <c:pt idx="48">
                  <c:v>1.6989700043360187</c:v>
                </c:pt>
                <c:pt idx="49">
                  <c:v>1.7075701760979363</c:v>
                </c:pt>
                <c:pt idx="50">
                  <c:v>1.7160033436347992</c:v>
                </c:pt>
                <c:pt idx="51">
                  <c:v>1.7242758696007889</c:v>
                </c:pt>
                <c:pt idx="52">
                  <c:v>1.7323937598229686</c:v>
                </c:pt>
                <c:pt idx="53">
                  <c:v>1.7403626894942439</c:v>
                </c:pt>
                <c:pt idx="54">
                  <c:v>1.7481880270062005</c:v>
                </c:pt>
                <c:pt idx="55">
                  <c:v>1.7558748556724915</c:v>
                </c:pt>
                <c:pt idx="56">
                  <c:v>1.7634279935629373</c:v>
                </c:pt>
                <c:pt idx="57">
                  <c:v>1.7708520116421442</c:v>
                </c:pt>
                <c:pt idx="58">
                  <c:v>1.7781512503836436</c:v>
                </c:pt>
                <c:pt idx="59">
                  <c:v>1.7853298350107671</c:v>
                </c:pt>
                <c:pt idx="60">
                  <c:v>1.7923916894982539</c:v>
                </c:pt>
                <c:pt idx="61">
                  <c:v>1.7993405494535817</c:v>
                </c:pt>
                <c:pt idx="62">
                  <c:v>1.8061799739838871</c:v>
                </c:pt>
                <c:pt idx="63">
                  <c:v>1.8129133566428555</c:v>
                </c:pt>
                <c:pt idx="64">
                  <c:v>1.8195439355418688</c:v>
                </c:pt>
                <c:pt idx="65">
                  <c:v>1.8260748027008264</c:v>
                </c:pt>
                <c:pt idx="66">
                  <c:v>1.8325089127062364</c:v>
                </c:pt>
                <c:pt idx="67">
                  <c:v>1.8388490907372552</c:v>
                </c:pt>
                <c:pt idx="68">
                  <c:v>1.8450980400142569</c:v>
                </c:pt>
                <c:pt idx="69">
                  <c:v>1.8512583487190752</c:v>
                </c:pt>
                <c:pt idx="70">
                  <c:v>1.8573324964312685</c:v>
                </c:pt>
                <c:pt idx="71">
                  <c:v>1.8633228601204559</c:v>
                </c:pt>
                <c:pt idx="72">
                  <c:v>1.8692317197309762</c:v>
                </c:pt>
                <c:pt idx="73">
                  <c:v>1.8750612633917001</c:v>
                </c:pt>
                <c:pt idx="74">
                  <c:v>1.8808135922807914</c:v>
                </c:pt>
                <c:pt idx="75">
                  <c:v>1.8864907251724818</c:v>
                </c:pt>
                <c:pt idx="76">
                  <c:v>1.8920946026904804</c:v>
                </c:pt>
                <c:pt idx="77">
                  <c:v>1.8976270912904414</c:v>
                </c:pt>
                <c:pt idx="78">
                  <c:v>1.9030899869919435</c:v>
                </c:pt>
                <c:pt idx="79">
                  <c:v>1.9084850188786497</c:v>
                </c:pt>
                <c:pt idx="80">
                  <c:v>1.9138138523837167</c:v>
                </c:pt>
                <c:pt idx="81">
                  <c:v>1.919078092376074</c:v>
                </c:pt>
                <c:pt idx="82">
                  <c:v>1.9242792860618816</c:v>
                </c:pt>
                <c:pt idx="83">
                  <c:v>1.9294189257142926</c:v>
                </c:pt>
                <c:pt idx="84">
                  <c:v>1.9344984512435677</c:v>
                </c:pt>
                <c:pt idx="85">
                  <c:v>1.9395192526186185</c:v>
                </c:pt>
                <c:pt idx="86">
                  <c:v>1.9444826721501687</c:v>
                </c:pt>
                <c:pt idx="87">
                  <c:v>1.9493900066449128</c:v>
                </c:pt>
                <c:pt idx="88">
                  <c:v>1.954242509439325</c:v>
                </c:pt>
                <c:pt idx="89">
                  <c:v>1.9590413923210936</c:v>
                </c:pt>
                <c:pt idx="90">
                  <c:v>1.9637878273455553</c:v>
                </c:pt>
                <c:pt idx="91">
                  <c:v>1.968482948553935</c:v>
                </c:pt>
                <c:pt idx="92">
                  <c:v>1.9731278535996986</c:v>
                </c:pt>
                <c:pt idx="93">
                  <c:v>1.9777236052888478</c:v>
                </c:pt>
                <c:pt idx="94">
                  <c:v>1.9822712330395684</c:v>
                </c:pt>
                <c:pt idx="95">
                  <c:v>1.9867717342662448</c:v>
                </c:pt>
                <c:pt idx="96">
                  <c:v>1.9912260756924949</c:v>
                </c:pt>
                <c:pt idx="97">
                  <c:v>1.9956351945975499</c:v>
                </c:pt>
                <c:pt idx="98">
                  <c:v>2</c:v>
                </c:pt>
              </c:numCache>
            </c:numRef>
          </c:xVal>
          <c:yVal>
            <c:numRef>
              <c:f>[0]!YPconv</c:f>
              <c:numCache>
                <c:formatCode>General</c:formatCode>
                <c:ptCount val="99"/>
                <c:pt idx="0">
                  <c:v>-0.80730312568071816</c:v>
                </c:pt>
                <c:pt idx="1">
                  <c:v>-1.4341840385594546</c:v>
                </c:pt>
                <c:pt idx="2">
                  <c:v>-1.4346145631030702</c:v>
                </c:pt>
                <c:pt idx="3">
                  <c:v>-1.6434438437831786</c:v>
                </c:pt>
                <c:pt idx="4">
                  <c:v>-1.6432100416347575</c:v>
                </c:pt>
                <c:pt idx="5">
                  <c:v>-1.2224808493488044</c:v>
                </c:pt>
                <c:pt idx="6">
                  <c:v>-0.82916549370780779</c:v>
                </c:pt>
                <c:pt idx="7">
                  <c:v>-1.0658210691334591</c:v>
                </c:pt>
                <c:pt idx="8">
                  <c:v>-0.96193380007130669</c:v>
                </c:pt>
                <c:pt idx="9">
                  <c:v>-0.97694324933138887</c:v>
                </c:pt>
                <c:pt idx="10">
                  <c:v>-1.1051649490511546</c:v>
                </c:pt>
                <c:pt idx="11">
                  <c:v>-0.91798664805711438</c:v>
                </c:pt>
                <c:pt idx="12">
                  <c:v>-1.2710089884604958</c:v>
                </c:pt>
                <c:pt idx="13">
                  <c:v>-0.87535817364979362</c:v>
                </c:pt>
                <c:pt idx="14">
                  <c:v>-1.4839024990844549</c:v>
                </c:pt>
                <c:pt idx="15">
                  <c:v>-2.6068947121916279</c:v>
                </c:pt>
                <c:pt idx="16">
                  <c:v>-1.8190111410636045</c:v>
                </c:pt>
                <c:pt idx="17">
                  <c:v>-1.8151232638483186</c:v>
                </c:pt>
                <c:pt idx="18">
                  <c:v>-4.1557279447963307</c:v>
                </c:pt>
                <c:pt idx="19">
                  <c:v>-1.5728930887660943</c:v>
                </c:pt>
                <c:pt idx="20">
                  <c:v>-1.8727475080676164</c:v>
                </c:pt>
                <c:pt idx="21">
                  <c:v>-1.4318664323542707</c:v>
                </c:pt>
                <c:pt idx="22">
                  <c:v>-1.5985922332776785</c:v>
                </c:pt>
                <c:pt idx="23">
                  <c:v>-1.3347714536155786</c:v>
                </c:pt>
                <c:pt idx="24">
                  <c:v>-1.446939248055267</c:v>
                </c:pt>
                <c:pt idx="25">
                  <c:v>-1.2621080756884195</c:v>
                </c:pt>
                <c:pt idx="26">
                  <c:v>-1.2034487462015895</c:v>
                </c:pt>
                <c:pt idx="27">
                  <c:v>-1.2048895015392125</c:v>
                </c:pt>
                <c:pt idx="28">
                  <c:v>-1.2815053793170126</c:v>
                </c:pt>
                <c:pt idx="29">
                  <c:v>-1.1582440666860381</c:v>
                </c:pt>
                <c:pt idx="30">
                  <c:v>-1.3687297508496117</c:v>
                </c:pt>
                <c:pt idx="31">
                  <c:v>-1.1192438293500464</c:v>
                </c:pt>
                <c:pt idx="32">
                  <c:v>-1.4690979983887373</c:v>
                </c:pt>
                <c:pt idx="33">
                  <c:v>-1.0859978330973443</c:v>
                </c:pt>
                <c:pt idx="34">
                  <c:v>-1.5894485856471194</c:v>
                </c:pt>
                <c:pt idx="35">
                  <c:v>-1.0572180987486002</c:v>
                </c:pt>
                <c:pt idx="36">
                  <c:v>-1.7432442236932746</c:v>
                </c:pt>
                <c:pt idx="37">
                  <c:v>-1.0319905719190836</c:v>
                </c:pt>
                <c:pt idx="38">
                  <c:v>-1.9636561815554463</c:v>
                </c:pt>
                <c:pt idx="39">
                  <c:v>-1.0096449873394742</c:v>
                </c:pt>
                <c:pt idx="40">
                  <c:v>-2.3849452606095776</c:v>
                </c:pt>
                <c:pt idx="41">
                  <c:v>-0.98967653262841104</c:v>
                </c:pt>
                <c:pt idx="42">
                  <c:v>-2.6507447075627169</c:v>
                </c:pt>
                <c:pt idx="43">
                  <c:v>-1.044464915880432</c:v>
                </c:pt>
                <c:pt idx="44">
                  <c:v>-2.0844338929789337</c:v>
                </c:pt>
                <c:pt idx="45">
                  <c:v>-1.0808973421865202</c:v>
                </c:pt>
                <c:pt idx="46">
                  <c:v>-1.8568116641600823</c:v>
                </c:pt>
                <c:pt idx="47">
                  <c:v>-1.1185503374371495</c:v>
                </c:pt>
                <c:pt idx="48">
                  <c:v>-1.7148829719479908</c:v>
                </c:pt>
                <c:pt idx="49">
                  <c:v>-1.157652152513106</c:v>
                </c:pt>
                <c:pt idx="50">
                  <c:v>-1.6129156478805775</c:v>
                </c:pt>
                <c:pt idx="51">
                  <c:v>-1.1984729527029587</c:v>
                </c:pt>
                <c:pt idx="52">
                  <c:v>-1.5340977716420245</c:v>
                </c:pt>
                <c:pt idx="53">
                  <c:v>-1.2413383962983726</c:v>
                </c:pt>
                <c:pt idx="54">
                  <c:v>-1.4703581339384961</c:v>
                </c:pt>
                <c:pt idx="55">
                  <c:v>-1.2866486849047514</c:v>
                </c:pt>
                <c:pt idx="56">
                  <c:v>-1.4171969828566129</c:v>
                </c:pt>
                <c:pt idx="57">
                  <c:v>-1.3349060588640314</c:v>
                </c:pt>
                <c:pt idx="58">
                  <c:v>-1.3718498087415136</c:v>
                </c:pt>
                <c:pt idx="59">
                  <c:v>-1.3867557642879773</c:v>
                </c:pt>
                <c:pt idx="60">
                  <c:v>-1.5915964201717085</c:v>
                </c:pt>
                <c:pt idx="61">
                  <c:v>-1.4430493758192655</c:v>
                </c:pt>
                <c:pt idx="62">
                  <c:v>-1.67256633211437</c:v>
                </c:pt>
                <c:pt idx="63">
                  <c:v>-1.5049470268886065</c:v>
                </c:pt>
                <c:pt idx="64">
                  <c:v>-1.7681199056224863</c:v>
                </c:pt>
                <c:pt idx="65">
                  <c:v>-1.574091412845382</c:v>
                </c:pt>
                <c:pt idx="66">
                  <c:v>-1.885796543098849</c:v>
                </c:pt>
                <c:pt idx="67">
                  <c:v>-1.6529241850380876</c:v>
                </c:pt>
                <c:pt idx="68">
                  <c:v>-2.0409504370238012</c:v>
                </c:pt>
                <c:pt idx="69">
                  <c:v>-1.745312586915222</c:v>
                </c:pt>
                <c:pt idx="70">
                  <c:v>-2.2736471486768446</c:v>
                </c:pt>
                <c:pt idx="71">
                  <c:v>-1.8579427896880647</c:v>
                </c:pt>
                <c:pt idx="72">
                  <c:v>-2.775665766846255</c:v>
                </c:pt>
                <c:pt idx="73">
                  <c:v>-2.0039829170896155</c:v>
                </c:pt>
                <c:pt idx="74">
                  <c:v>-2.7318707714440311</c:v>
                </c:pt>
                <c:pt idx="75">
                  <c:v>-2.2157148613308286</c:v>
                </c:pt>
                <c:pt idx="76">
                  <c:v>-2.2780426160191163</c:v>
                </c:pt>
                <c:pt idx="77">
                  <c:v>-2.6213195325574596</c:v>
                </c:pt>
                <c:pt idx="78">
                  <c:v>-2.0663780808149488</c:v>
                </c:pt>
                <c:pt idx="79">
                  <c:v>-2.928193118697989</c:v>
                </c:pt>
                <c:pt idx="80">
                  <c:v>-1.928408324661306</c:v>
                </c:pt>
                <c:pt idx="81">
                  <c:v>-2.33392101346513</c:v>
                </c:pt>
                <c:pt idx="82">
                  <c:v>-1.8266631256435901</c:v>
                </c:pt>
                <c:pt idx="83">
                  <c:v>-1.2697523686167091</c:v>
                </c:pt>
                <c:pt idx="84">
                  <c:v>-1.7465042884813904</c:v>
                </c:pt>
                <c:pt idx="85">
                  <c:v>-1.2994677749343289</c:v>
                </c:pt>
                <c:pt idx="86">
                  <c:v>-1.6806750133690156</c:v>
                </c:pt>
                <c:pt idx="87">
                  <c:v>-1.3304490370272624</c:v>
                </c:pt>
                <c:pt idx="88">
                  <c:v>-1.6250450931576992</c:v>
                </c:pt>
                <c:pt idx="89">
                  <c:v>-1.3628670436030419</c:v>
                </c:pt>
                <c:pt idx="90">
                  <c:v>-1.5770389500198565</c:v>
                </c:pt>
                <c:pt idx="91">
                  <c:v>-1.3969253133420008</c:v>
                </c:pt>
                <c:pt idx="92">
                  <c:v>-1.5349421211460521</c:v>
                </c:pt>
                <c:pt idx="93">
                  <c:v>-1.4328691719395297</c:v>
                </c:pt>
                <c:pt idx="94">
                  <c:v>-1.4975559151906552</c:v>
                </c:pt>
                <c:pt idx="95">
                  <c:v>-1.4709983725970586</c:v>
                </c:pt>
                <c:pt idx="96">
                  <c:v>-1.4640094995450359</c:v>
                </c:pt>
                <c:pt idx="97">
                  <c:v>-1.5116848401848393</c:v>
                </c:pt>
                <c:pt idx="98">
                  <c:v>-1.4336504503698639</c:v>
                </c:pt>
              </c:numCache>
            </c:numRef>
          </c:yVal>
          <c:smooth val="1"/>
          <c:extLst>
            <c:ext xmlns:c16="http://schemas.microsoft.com/office/drawing/2014/chart" uri="{C3380CC4-5D6E-409C-BE32-E72D297353CC}">
              <c16:uniqueId val="{00000001-F469-4256-921D-51E338EFE5ED}"/>
            </c:ext>
          </c:extLst>
        </c:ser>
        <c:dLbls>
          <c:showLegendKey val="0"/>
          <c:showVal val="0"/>
          <c:showCatName val="0"/>
          <c:showSerName val="0"/>
          <c:showPercent val="0"/>
          <c:showBubbleSize val="0"/>
        </c:dLbls>
        <c:axId val="1641492319"/>
        <c:axId val="1641490399"/>
      </c:scatterChart>
      <c:valAx>
        <c:axId val="1641492319"/>
        <c:scaling>
          <c:orientation val="minMax"/>
          <c:max val="2"/>
          <c:min val="0.2800000000000000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0399"/>
        <c:crosses val="autoZero"/>
        <c:crossBetween val="midCat"/>
      </c:valAx>
      <c:valAx>
        <c:axId val="1641490399"/>
        <c:scaling>
          <c:orientation val="minMax"/>
          <c:max val="-0.63988188472493757"/>
          <c:min val="-4.323149185752111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log(erreur)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2319"/>
        <c:crosses val="autoZero"/>
        <c:crossBetween val="midCat"/>
      </c:valAx>
      <c:spPr>
        <a:noFill/>
        <a:ln>
          <a:noFill/>
        </a:ln>
        <a:effectLst/>
      </c:spPr>
    </c:plotArea>
    <c:legend>
      <c:legendPos val="t"/>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l-GR" baseline="0">
                <a:latin typeface="Aptos Narrow" panose="020B0004020202020204" pitchFamily="34" charset="0"/>
              </a:rPr>
              <a:t>Δ</a:t>
            </a:r>
            <a:r>
              <a:rPr lang="en-GB" baseline="0"/>
              <a:t> en fonction de N</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CRR</c:v>
          </c:tx>
          <c:spPr>
            <a:ln w="19050" cap="rnd">
              <a:solidFill>
                <a:srgbClr val="7030A0"/>
              </a:solidFill>
              <a:round/>
            </a:ln>
            <a:effectLst/>
          </c:spPr>
          <c:marker>
            <c:symbol val="none"/>
          </c:marker>
          <c:xVal>
            <c:numRef>
              <c:f>[0]!XDcrr</c:f>
              <c:numCache>
                <c:formatCode>General</c:formatCode>
                <c:ptCount val="99"/>
                <c:pt idx="0">
                  <c:v>2</c:v>
                </c:pt>
                <c:pt idx="1">
                  <c:v>3</c:v>
                </c:pt>
                <c:pt idx="2">
                  <c:v>4</c:v>
                </c:pt>
                <c:pt idx="3">
                  <c:v>5</c:v>
                </c:pt>
                <c:pt idx="4">
                  <c:v>6</c:v>
                </c:pt>
                <c:pt idx="5">
                  <c:v>7</c:v>
                </c:pt>
                <c:pt idx="6">
                  <c:v>8</c:v>
                </c:pt>
                <c:pt idx="7">
                  <c:v>9</c:v>
                </c:pt>
                <c:pt idx="8">
                  <c:v>10</c:v>
                </c:pt>
                <c:pt idx="9">
                  <c:v>11</c:v>
                </c:pt>
                <c:pt idx="10">
                  <c:v>12</c:v>
                </c:pt>
                <c:pt idx="11">
                  <c:v>13</c:v>
                </c:pt>
                <c:pt idx="12">
                  <c:v>14</c:v>
                </c:pt>
                <c:pt idx="13">
                  <c:v>15</c:v>
                </c:pt>
                <c:pt idx="14">
                  <c:v>16</c:v>
                </c:pt>
                <c:pt idx="15">
                  <c:v>17</c:v>
                </c:pt>
                <c:pt idx="16">
                  <c:v>18</c:v>
                </c:pt>
                <c:pt idx="17">
                  <c:v>19</c:v>
                </c:pt>
                <c:pt idx="18">
                  <c:v>20</c:v>
                </c:pt>
                <c:pt idx="19">
                  <c:v>21</c:v>
                </c:pt>
                <c:pt idx="20">
                  <c:v>22</c:v>
                </c:pt>
                <c:pt idx="21">
                  <c:v>23</c:v>
                </c:pt>
                <c:pt idx="22">
                  <c:v>24</c:v>
                </c:pt>
                <c:pt idx="23">
                  <c:v>25</c:v>
                </c:pt>
                <c:pt idx="24">
                  <c:v>26</c:v>
                </c:pt>
                <c:pt idx="25">
                  <c:v>27</c:v>
                </c:pt>
                <c:pt idx="26">
                  <c:v>28</c:v>
                </c:pt>
                <c:pt idx="27">
                  <c:v>29</c:v>
                </c:pt>
                <c:pt idx="28">
                  <c:v>30</c:v>
                </c:pt>
                <c:pt idx="29">
                  <c:v>31</c:v>
                </c:pt>
                <c:pt idx="30">
                  <c:v>32</c:v>
                </c:pt>
                <c:pt idx="31">
                  <c:v>33</c:v>
                </c:pt>
                <c:pt idx="32">
                  <c:v>34</c:v>
                </c:pt>
                <c:pt idx="33">
                  <c:v>35</c:v>
                </c:pt>
                <c:pt idx="34">
                  <c:v>36</c:v>
                </c:pt>
                <c:pt idx="35">
                  <c:v>37</c:v>
                </c:pt>
                <c:pt idx="36">
                  <c:v>38</c:v>
                </c:pt>
                <c:pt idx="37">
                  <c:v>39</c:v>
                </c:pt>
                <c:pt idx="38">
                  <c:v>40</c:v>
                </c:pt>
                <c:pt idx="39">
                  <c:v>41</c:v>
                </c:pt>
                <c:pt idx="40">
                  <c:v>42</c:v>
                </c:pt>
                <c:pt idx="41">
                  <c:v>43</c:v>
                </c:pt>
                <c:pt idx="42">
                  <c:v>44</c:v>
                </c:pt>
                <c:pt idx="43">
                  <c:v>45</c:v>
                </c:pt>
                <c:pt idx="44">
                  <c:v>46</c:v>
                </c:pt>
                <c:pt idx="45">
                  <c:v>47</c:v>
                </c:pt>
                <c:pt idx="46">
                  <c:v>48</c:v>
                </c:pt>
                <c:pt idx="47">
                  <c:v>49</c:v>
                </c:pt>
                <c:pt idx="48">
                  <c:v>50</c:v>
                </c:pt>
                <c:pt idx="49">
                  <c:v>51</c:v>
                </c:pt>
                <c:pt idx="50">
                  <c:v>52</c:v>
                </c:pt>
                <c:pt idx="51">
                  <c:v>53</c:v>
                </c:pt>
                <c:pt idx="52">
                  <c:v>54</c:v>
                </c:pt>
                <c:pt idx="53">
                  <c:v>55</c:v>
                </c:pt>
                <c:pt idx="54">
                  <c:v>56</c:v>
                </c:pt>
                <c:pt idx="55">
                  <c:v>57</c:v>
                </c:pt>
                <c:pt idx="56">
                  <c:v>58</c:v>
                </c:pt>
                <c:pt idx="57">
                  <c:v>59</c:v>
                </c:pt>
                <c:pt idx="58">
                  <c:v>60</c:v>
                </c:pt>
                <c:pt idx="59">
                  <c:v>61</c:v>
                </c:pt>
                <c:pt idx="60">
                  <c:v>62</c:v>
                </c:pt>
                <c:pt idx="61">
                  <c:v>63</c:v>
                </c:pt>
                <c:pt idx="62">
                  <c:v>64</c:v>
                </c:pt>
                <c:pt idx="63">
                  <c:v>65</c:v>
                </c:pt>
                <c:pt idx="64">
                  <c:v>66</c:v>
                </c:pt>
                <c:pt idx="65">
                  <c:v>67</c:v>
                </c:pt>
                <c:pt idx="66">
                  <c:v>68</c:v>
                </c:pt>
                <c:pt idx="67">
                  <c:v>69</c:v>
                </c:pt>
                <c:pt idx="68">
                  <c:v>70</c:v>
                </c:pt>
                <c:pt idx="69">
                  <c:v>71</c:v>
                </c:pt>
                <c:pt idx="70">
                  <c:v>72</c:v>
                </c:pt>
                <c:pt idx="71">
                  <c:v>73</c:v>
                </c:pt>
                <c:pt idx="72">
                  <c:v>74</c:v>
                </c:pt>
                <c:pt idx="73">
                  <c:v>75</c:v>
                </c:pt>
                <c:pt idx="74">
                  <c:v>76</c:v>
                </c:pt>
                <c:pt idx="75">
                  <c:v>77</c:v>
                </c:pt>
                <c:pt idx="76">
                  <c:v>78</c:v>
                </c:pt>
                <c:pt idx="77">
                  <c:v>79</c:v>
                </c:pt>
                <c:pt idx="78">
                  <c:v>80</c:v>
                </c:pt>
                <c:pt idx="79">
                  <c:v>81</c:v>
                </c:pt>
                <c:pt idx="80">
                  <c:v>82</c:v>
                </c:pt>
                <c:pt idx="81">
                  <c:v>83</c:v>
                </c:pt>
                <c:pt idx="82">
                  <c:v>84</c:v>
                </c:pt>
                <c:pt idx="83">
                  <c:v>85</c:v>
                </c:pt>
                <c:pt idx="84">
                  <c:v>86</c:v>
                </c:pt>
                <c:pt idx="85">
                  <c:v>87</c:v>
                </c:pt>
                <c:pt idx="86">
                  <c:v>88</c:v>
                </c:pt>
                <c:pt idx="87">
                  <c:v>89</c:v>
                </c:pt>
                <c:pt idx="88">
                  <c:v>90</c:v>
                </c:pt>
                <c:pt idx="89">
                  <c:v>91</c:v>
                </c:pt>
                <c:pt idx="90">
                  <c:v>92</c:v>
                </c:pt>
                <c:pt idx="91">
                  <c:v>93</c:v>
                </c:pt>
                <c:pt idx="92">
                  <c:v>94</c:v>
                </c:pt>
                <c:pt idx="93">
                  <c:v>95</c:v>
                </c:pt>
                <c:pt idx="94">
                  <c:v>96</c:v>
                </c:pt>
                <c:pt idx="95">
                  <c:v>97</c:v>
                </c:pt>
                <c:pt idx="96">
                  <c:v>98</c:v>
                </c:pt>
                <c:pt idx="97">
                  <c:v>99</c:v>
                </c:pt>
                <c:pt idx="98">
                  <c:v>100</c:v>
                </c:pt>
              </c:numCache>
            </c:numRef>
          </c:xVal>
          <c:yVal>
            <c:numRef>
              <c:f>[0]!YDcrr</c:f>
              <c:numCache>
                <c:formatCode>General</c:formatCode>
                <c:ptCount val="99"/>
                <c:pt idx="0">
                  <c:v>0</c:v>
                </c:pt>
                <c:pt idx="1">
                  <c:v>1.0473298352673943E-2</c:v>
                </c:pt>
                <c:pt idx="2">
                  <c:v>0</c:v>
                </c:pt>
                <c:pt idx="3">
                  <c:v>6.7150542978273182E-3</c:v>
                </c:pt>
                <c:pt idx="4">
                  <c:v>0</c:v>
                </c:pt>
                <c:pt idx="5">
                  <c:v>4.9514522721168649E-3</c:v>
                </c:pt>
                <c:pt idx="6">
                  <c:v>7.4039216545298773E-3</c:v>
                </c:pt>
                <c:pt idx="7">
                  <c:v>3.9237450030803183E-3</c:v>
                </c:pt>
                <c:pt idx="8">
                  <c:v>6.2004724515437879E-3</c:v>
                </c:pt>
                <c:pt idx="9">
                  <c:v>3.250047859708549E-3</c:v>
                </c:pt>
                <c:pt idx="10">
                  <c:v>5.3322536612034465E-3</c:v>
                </c:pt>
                <c:pt idx="11">
                  <c:v>2.7740849464161642E-3</c:v>
                </c:pt>
                <c:pt idx="12">
                  <c:v>4.6767442800540416E-3</c:v>
                </c:pt>
                <c:pt idx="13">
                  <c:v>2.4198565346544632E-3</c:v>
                </c:pt>
                <c:pt idx="14">
                  <c:v>4.1644753062787913E-3</c:v>
                </c:pt>
                <c:pt idx="15">
                  <c:v>7.296122247461418E-3</c:v>
                </c:pt>
                <c:pt idx="16">
                  <c:v>3.7531970827633632E-3</c:v>
                </c:pt>
                <c:pt idx="17">
                  <c:v>6.6594433692159453E-3</c:v>
                </c:pt>
                <c:pt idx="18">
                  <c:v>3.4157628459791554E-3</c:v>
                </c:pt>
                <c:pt idx="19">
                  <c:v>6.1244563587170703E-3</c:v>
                </c:pt>
                <c:pt idx="20">
                  <c:v>3.133943610222208E-3</c:v>
                </c:pt>
                <c:pt idx="21">
                  <c:v>5.6687114393804902E-3</c:v>
                </c:pt>
                <c:pt idx="22">
                  <c:v>2.8950483549447449E-3</c:v>
                </c:pt>
                <c:pt idx="23">
                  <c:v>5.2758830336654267E-3</c:v>
                </c:pt>
                <c:pt idx="24">
                  <c:v>2.6899713703723675E-3</c:v>
                </c:pt>
                <c:pt idx="25">
                  <c:v>4.9338248180571974E-3</c:v>
                </c:pt>
                <c:pt idx="26">
                  <c:v>6.5940279481265258E-3</c:v>
                </c:pt>
                <c:pt idx="27">
                  <c:v>4.6333180382736889E-3</c:v>
                </c:pt>
                <c:pt idx="28">
                  <c:v>6.2367997099868639E-3</c:v>
                </c:pt>
                <c:pt idx="29">
                  <c:v>4.3672424576628672E-3</c:v>
                </c:pt>
                <c:pt idx="30">
                  <c:v>5.9158585465512378E-3</c:v>
                </c:pt>
                <c:pt idx="31">
                  <c:v>4.1300130100950056E-3</c:v>
                </c:pt>
                <c:pt idx="32">
                  <c:v>5.6260123372529683E-3</c:v>
                </c:pt>
                <c:pt idx="33">
                  <c:v>3.9171881815144643E-3</c:v>
                </c:pt>
                <c:pt idx="34">
                  <c:v>5.36299994529008E-3</c:v>
                </c:pt>
                <c:pt idx="35">
                  <c:v>3.7251921711441982E-3</c:v>
                </c:pt>
                <c:pt idx="36">
                  <c:v>5.1232951251648654E-3</c:v>
                </c:pt>
                <c:pt idx="37">
                  <c:v>3.5511141391107721E-3</c:v>
                </c:pt>
                <c:pt idx="38">
                  <c:v>4.9039569392798962E-3</c:v>
                </c:pt>
                <c:pt idx="39">
                  <c:v>3.3925607424536829E-3</c:v>
                </c:pt>
                <c:pt idx="40">
                  <c:v>4.7025146492285326E-3</c:v>
                </c:pt>
                <c:pt idx="41">
                  <c:v>3.2475461857035307E-3</c:v>
                </c:pt>
                <c:pt idx="42">
                  <c:v>4.5168783523421912E-3</c:v>
                </c:pt>
                <c:pt idx="43">
                  <c:v>5.4813600551217494E-3</c:v>
                </c:pt>
                <c:pt idx="44">
                  <c:v>4.3452690034384098E-3</c:v>
                </c:pt>
                <c:pt idx="45">
                  <c:v>5.2930945016302069E-3</c:v>
                </c:pt>
                <c:pt idx="46">
                  <c:v>4.1861631576432679E-3</c:v>
                </c:pt>
                <c:pt idx="47">
                  <c:v>5.1171149837689854E-3</c:v>
                </c:pt>
                <c:pt idx="48">
                  <c:v>4.0382489877506915E-3</c:v>
                </c:pt>
                <c:pt idx="49">
                  <c:v>4.9522817463934065E-3</c:v>
                </c:pt>
                <c:pt idx="50">
                  <c:v>3.9003910086157752E-3</c:v>
                </c:pt>
                <c:pt idx="51">
                  <c:v>4.7975880484638425E-3</c:v>
                </c:pt>
                <c:pt idx="52">
                  <c:v>3.7716015801014381E-3</c:v>
                </c:pt>
                <c:pt idx="53">
                  <c:v>4.6521419986548145E-3</c:v>
                </c:pt>
                <c:pt idx="54">
                  <c:v>3.6510177281803961E-3</c:v>
                </c:pt>
                <c:pt idx="55">
                  <c:v>4.5151511369047855E-3</c:v>
                </c:pt>
                <c:pt idx="56">
                  <c:v>3.5378821693871189E-3</c:v>
                </c:pt>
                <c:pt idx="57">
                  <c:v>4.3859093284466513E-3</c:v>
                </c:pt>
                <c:pt idx="58">
                  <c:v>3.4315276810028936E-3</c:v>
                </c:pt>
                <c:pt idx="59">
                  <c:v>4.2637856016874698E-3</c:v>
                </c:pt>
                <c:pt idx="60">
                  <c:v>6.0811618870699156E-3</c:v>
                </c:pt>
                <c:pt idx="61">
                  <c:v>4.1482146195508723E-3</c:v>
                </c:pt>
                <c:pt idx="62">
                  <c:v>5.9246240941167759E-3</c:v>
                </c:pt>
                <c:pt idx="63">
                  <c:v>4.038688524445431E-3</c:v>
                </c:pt>
                <c:pt idx="64">
                  <c:v>5.7758478388301726E-3</c:v>
                </c:pt>
                <c:pt idx="65">
                  <c:v>3.9347499399949902E-3</c:v>
                </c:pt>
                <c:pt idx="66">
                  <c:v>5.63427791134669E-3</c:v>
                </c:pt>
                <c:pt idx="67">
                  <c:v>3.8359859487617958E-3</c:v>
                </c:pt>
                <c:pt idx="68">
                  <c:v>5.4994099239847405E-3</c:v>
                </c:pt>
                <c:pt idx="69">
                  <c:v>3.742022895279442E-3</c:v>
                </c:pt>
                <c:pt idx="70">
                  <c:v>5.3707847496515361E-3</c:v>
                </c:pt>
                <c:pt idx="71">
                  <c:v>3.6525218886829208E-3</c:v>
                </c:pt>
                <c:pt idx="72">
                  <c:v>5.2479836548209018E-3</c:v>
                </c:pt>
                <c:pt idx="73">
                  <c:v>3.567174899906024E-3</c:v>
                </c:pt>
                <c:pt idx="74">
                  <c:v>5.1306240317530007E-3</c:v>
                </c:pt>
                <c:pt idx="75">
                  <c:v>3.4857013655332715E-3</c:v>
                </c:pt>
                <c:pt idx="76">
                  <c:v>5.0183556484719224E-3</c:v>
                </c:pt>
                <c:pt idx="77">
                  <c:v>3.4078452245594544E-3</c:v>
                </c:pt>
                <c:pt idx="78">
                  <c:v>4.9108573468344737E-3</c:v>
                </c:pt>
                <c:pt idx="79">
                  <c:v>3.3333723260516937E-3</c:v>
                </c:pt>
                <c:pt idx="80">
                  <c:v>4.8078341290970347E-3</c:v>
                </c:pt>
                <c:pt idx="81">
                  <c:v>3.2620681554488325E-3</c:v>
                </c:pt>
                <c:pt idx="82">
                  <c:v>4.709014581947989E-3</c:v>
                </c:pt>
                <c:pt idx="83">
                  <c:v>5.5379869472000206E-3</c:v>
                </c:pt>
                <c:pt idx="84">
                  <c:v>4.614148594251884E-3</c:v>
                </c:pt>
                <c:pt idx="85">
                  <c:v>5.4336024614727099E-3</c:v>
                </c:pt>
                <c:pt idx="86">
                  <c:v>4.5230053309299884E-3</c:v>
                </c:pt>
                <c:pt idx="87">
                  <c:v>5.333022403959174E-3</c:v>
                </c:pt>
                <c:pt idx="88">
                  <c:v>4.4353714306588675E-3</c:v>
                </c:pt>
                <c:pt idx="89">
                  <c:v>5.2360462841616962E-3</c:v>
                </c:pt>
                <c:pt idx="90">
                  <c:v>4.3510493995410626E-3</c:v>
                </c:pt>
                <c:pt idx="91">
                  <c:v>5.1424871299229945E-3</c:v>
                </c:pt>
                <c:pt idx="92">
                  <c:v>4.2698561767056161E-3</c:v>
                </c:pt>
                <c:pt idx="93">
                  <c:v>5.0521704020628265E-3</c:v>
                </c:pt>
                <c:pt idx="94">
                  <c:v>4.1916218510497198E-3</c:v>
                </c:pt>
                <c:pt idx="95">
                  <c:v>4.9649330073844502E-3</c:v>
                </c:pt>
                <c:pt idx="96">
                  <c:v>4.116188511103719E-3</c:v>
                </c:pt>
                <c:pt idx="97">
                  <c:v>4.8806224004965607E-3</c:v>
                </c:pt>
                <c:pt idx="98">
                  <c:v>4.043409212377197E-3</c:v>
                </c:pt>
              </c:numCache>
            </c:numRef>
          </c:yVal>
          <c:smooth val="1"/>
          <c:extLst>
            <c:ext xmlns:c16="http://schemas.microsoft.com/office/drawing/2014/chart" uri="{C3380CC4-5D6E-409C-BE32-E72D297353CC}">
              <c16:uniqueId val="{00000000-870F-47AA-9E71-D5F60AC29881}"/>
            </c:ext>
          </c:extLst>
        </c:ser>
        <c:ser>
          <c:idx val="1"/>
          <c:order val="1"/>
          <c:tx>
            <c:v>Limite</c:v>
          </c:tx>
          <c:spPr>
            <a:ln w="19050" cap="rnd">
              <a:solidFill>
                <a:schemeClr val="accent2"/>
              </a:solidFill>
              <a:round/>
            </a:ln>
            <a:effectLst/>
          </c:spPr>
          <c:marker>
            <c:symbol val="none"/>
          </c:marker>
          <c:xVal>
            <c:numRef>
              <c:f>[0]!XDlim</c:f>
              <c:numCache>
                <c:formatCode>General</c:formatCode>
                <c:ptCount val="2"/>
                <c:pt idx="0">
                  <c:v>2</c:v>
                </c:pt>
                <c:pt idx="1">
                  <c:v>100</c:v>
                </c:pt>
              </c:numCache>
            </c:numRef>
          </c:xVal>
          <c:yVal>
            <c:numRef>
              <c:f>[0]!YDlim</c:f>
              <c:numCache>
                <c:formatCode>General</c:formatCode>
                <c:ptCount val="2"/>
                <c:pt idx="0">
                  <c:v>4.5645830637593273E-3</c:v>
                </c:pt>
                <c:pt idx="1">
                  <c:v>4.5645830637593273E-3</c:v>
                </c:pt>
              </c:numCache>
            </c:numRef>
          </c:yVal>
          <c:smooth val="1"/>
          <c:extLst>
            <c:ext xmlns:c16="http://schemas.microsoft.com/office/drawing/2014/chart" uri="{C3380CC4-5D6E-409C-BE32-E72D297353CC}">
              <c16:uniqueId val="{00000001-870F-47AA-9E71-D5F60AC29881}"/>
            </c:ext>
          </c:extLst>
        </c:ser>
        <c:dLbls>
          <c:showLegendKey val="0"/>
          <c:showVal val="0"/>
          <c:showCatName val="0"/>
          <c:showSerName val="0"/>
          <c:showPercent val="0"/>
          <c:showBubbleSize val="0"/>
        </c:dLbls>
        <c:axId val="1171083999"/>
        <c:axId val="758543631"/>
      </c:scatterChart>
      <c:valAx>
        <c:axId val="1171083999"/>
        <c:scaling>
          <c:orientation val="minMax"/>
          <c:max val="100"/>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543631"/>
        <c:crosses val="autoZero"/>
        <c:crossBetween val="midCat"/>
      </c:valAx>
      <c:valAx>
        <c:axId val="758543631"/>
        <c:scaling>
          <c:orientation val="minMax"/>
          <c:max val="1.0996963270307639E-2"/>
          <c:min val="-5.2366491763369718E-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latin typeface="Aptos Narrow" panose="020B0004020202020204" pitchFamily="34" charset="0"/>
                  </a:rPr>
                  <a:t>Δ</a:t>
                </a:r>
                <a:endParaRPr lang="en-GB"/>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GB"/>
            </a:p>
          </c:txPr>
        </c:title>
        <c:numFmt formatCode="0.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1083999"/>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Ordre de convergence du </a:t>
            </a:r>
            <a:r>
              <a:rPr lang="el-GR" sz="1400" b="0" i="0" u="none" strike="noStrike" baseline="0">
                <a:latin typeface="Aptos Narrow" panose="020B0004020202020204" pitchFamily="34" charset="0"/>
              </a:rPr>
              <a:t>Δ</a:t>
            </a:r>
            <a:r>
              <a:rPr lang="en-GB" sz="1400" b="0" i="0" u="none" strike="noStrike" baseline="0"/>
              <a:t> </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GB"/>
        </a:p>
      </c:txPr>
    </c:title>
    <c:autoTitleDeleted val="0"/>
    <c:plotArea>
      <c:layout/>
      <c:scatterChart>
        <c:scatterStyle val="smoothMarker"/>
        <c:varyColors val="0"/>
        <c:ser>
          <c:idx val="0"/>
          <c:order val="0"/>
          <c:tx>
            <c:v>log|ΔCRR-ΔLimite|</c:v>
          </c:tx>
          <c:spPr>
            <a:ln w="19050" cap="rnd">
              <a:solidFill>
                <a:srgbClr val="CFCB13"/>
              </a:solidFill>
              <a:round/>
            </a:ln>
            <a:effectLst/>
          </c:spPr>
          <c:marker>
            <c:symbol val="none"/>
          </c:marker>
          <c:trendline>
            <c:name>Droite de régression</c:name>
            <c:spPr>
              <a:ln w="19050" cap="rnd">
                <a:solidFill>
                  <a:srgbClr val="CFCB13"/>
                </a:solidFill>
                <a:prstDash val="sysDot"/>
              </a:ln>
              <a:effectLst/>
            </c:spPr>
            <c:trendlineType val="linear"/>
            <c:dispRSqr val="0"/>
            <c:dispEq val="1"/>
            <c:trendlineLbl>
              <c:layout>
                <c:manualLayout>
                  <c:x val="-0.73505805260724599"/>
                  <c:y val="-0.24614895122729244"/>
                </c:manualLayout>
              </c:layout>
              <c:numFmt formatCode="General" sourceLinked="0"/>
              <c:spPr>
                <a:noFill/>
                <a:ln>
                  <a:noFill/>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[0]!XDconv</c:f>
              <c:numCache>
                <c:formatCode>General</c:formatCode>
                <c:ptCount val="99"/>
                <c:pt idx="0">
                  <c:v>0.3010299956639812</c:v>
                </c:pt>
                <c:pt idx="1">
                  <c:v>0.47712125471966244</c:v>
                </c:pt>
                <c:pt idx="2">
                  <c:v>0.6020599913279624</c:v>
                </c:pt>
                <c:pt idx="3">
                  <c:v>0.69897000433601886</c:v>
                </c:pt>
                <c:pt idx="4">
                  <c:v>0.77815125038364363</c:v>
                </c:pt>
                <c:pt idx="5">
                  <c:v>0.84509804001425681</c:v>
                </c:pt>
                <c:pt idx="6">
                  <c:v>0.90308998699194354</c:v>
                </c:pt>
                <c:pt idx="7">
                  <c:v>0.95424250943932487</c:v>
                </c:pt>
                <c:pt idx="8">
                  <c:v>1</c:v>
                </c:pt>
                <c:pt idx="9">
                  <c:v>1.0413926851582251</c:v>
                </c:pt>
                <c:pt idx="10">
                  <c:v>1.0791812460476249</c:v>
                </c:pt>
                <c:pt idx="11">
                  <c:v>1.1139433523068367</c:v>
                </c:pt>
                <c:pt idx="12">
                  <c:v>1.146128035678238</c:v>
                </c:pt>
                <c:pt idx="13">
                  <c:v>1.1760912590556813</c:v>
                </c:pt>
                <c:pt idx="14">
                  <c:v>1.2041199826559248</c:v>
                </c:pt>
                <c:pt idx="15">
                  <c:v>1.2304489213782739</c:v>
                </c:pt>
                <c:pt idx="16">
                  <c:v>1.255272505103306</c:v>
                </c:pt>
                <c:pt idx="17">
                  <c:v>1.2787536009528289</c:v>
                </c:pt>
                <c:pt idx="18">
                  <c:v>1.3010299956639813</c:v>
                </c:pt>
                <c:pt idx="19">
                  <c:v>1.3222192947339193</c:v>
                </c:pt>
                <c:pt idx="20">
                  <c:v>1.3424226808222062</c:v>
                </c:pt>
                <c:pt idx="21">
                  <c:v>1.3617278360175928</c:v>
                </c:pt>
                <c:pt idx="22">
                  <c:v>1.3802112417116059</c:v>
                </c:pt>
                <c:pt idx="23">
                  <c:v>1.3979400086720377</c:v>
                </c:pt>
                <c:pt idx="24">
                  <c:v>1.414973347970818</c:v>
                </c:pt>
                <c:pt idx="25">
                  <c:v>1.4313637641589874</c:v>
                </c:pt>
                <c:pt idx="26">
                  <c:v>1.4471580313422192</c:v>
                </c:pt>
                <c:pt idx="27">
                  <c:v>1.4623979978989561</c:v>
                </c:pt>
                <c:pt idx="28">
                  <c:v>1.4771212547196624</c:v>
                </c:pt>
                <c:pt idx="29">
                  <c:v>1.4913616938342726</c:v>
                </c:pt>
                <c:pt idx="30">
                  <c:v>1.505149978319906</c:v>
                </c:pt>
                <c:pt idx="31">
                  <c:v>1.5185139398778875</c:v>
                </c:pt>
                <c:pt idx="32">
                  <c:v>1.5314789170422551</c:v>
                </c:pt>
                <c:pt idx="33">
                  <c:v>1.5440680443502757</c:v>
                </c:pt>
                <c:pt idx="34">
                  <c:v>1.5563025007672873</c:v>
                </c:pt>
                <c:pt idx="35">
                  <c:v>1.568201724066995</c:v>
                </c:pt>
                <c:pt idx="36">
                  <c:v>1.5797835966168101</c:v>
                </c:pt>
                <c:pt idx="37">
                  <c:v>1.5910646070264991</c:v>
                </c:pt>
                <c:pt idx="38">
                  <c:v>1.6020599913279623</c:v>
                </c:pt>
                <c:pt idx="39">
                  <c:v>1.6127838567197355</c:v>
                </c:pt>
                <c:pt idx="40">
                  <c:v>1.6232492903979006</c:v>
                </c:pt>
                <c:pt idx="41">
                  <c:v>1.6334684555795864</c:v>
                </c:pt>
                <c:pt idx="42">
                  <c:v>1.6434526764861874</c:v>
                </c:pt>
                <c:pt idx="43">
                  <c:v>1.6532125137753437</c:v>
                </c:pt>
                <c:pt idx="44">
                  <c:v>1.6627578316815741</c:v>
                </c:pt>
                <c:pt idx="45">
                  <c:v>1.6720978579357175</c:v>
                </c:pt>
                <c:pt idx="46">
                  <c:v>1.6812412373755872</c:v>
                </c:pt>
                <c:pt idx="47">
                  <c:v>1.6901960800285136</c:v>
                </c:pt>
                <c:pt idx="48">
                  <c:v>1.6989700043360187</c:v>
                </c:pt>
                <c:pt idx="49">
                  <c:v>1.7075701760979363</c:v>
                </c:pt>
                <c:pt idx="50">
                  <c:v>1.7160033436347992</c:v>
                </c:pt>
                <c:pt idx="51">
                  <c:v>1.7242758696007889</c:v>
                </c:pt>
                <c:pt idx="52">
                  <c:v>1.7323937598229686</c:v>
                </c:pt>
                <c:pt idx="53">
                  <c:v>1.7403626894942439</c:v>
                </c:pt>
                <c:pt idx="54">
                  <c:v>1.7481880270062005</c:v>
                </c:pt>
                <c:pt idx="55">
                  <c:v>1.7558748556724915</c:v>
                </c:pt>
                <c:pt idx="56">
                  <c:v>1.7634279935629373</c:v>
                </c:pt>
                <c:pt idx="57">
                  <c:v>1.7708520116421442</c:v>
                </c:pt>
                <c:pt idx="58">
                  <c:v>1.7781512503836436</c:v>
                </c:pt>
                <c:pt idx="59">
                  <c:v>1.7853298350107671</c:v>
                </c:pt>
                <c:pt idx="60">
                  <c:v>1.7923916894982539</c:v>
                </c:pt>
                <c:pt idx="61">
                  <c:v>1.7993405494535817</c:v>
                </c:pt>
                <c:pt idx="62">
                  <c:v>1.8061799739838871</c:v>
                </c:pt>
                <c:pt idx="63">
                  <c:v>1.8129133566428555</c:v>
                </c:pt>
                <c:pt idx="64">
                  <c:v>1.8195439355418688</c:v>
                </c:pt>
                <c:pt idx="65">
                  <c:v>1.8260748027008264</c:v>
                </c:pt>
                <c:pt idx="66">
                  <c:v>1.8325089127062364</c:v>
                </c:pt>
                <c:pt idx="67">
                  <c:v>1.8388490907372552</c:v>
                </c:pt>
                <c:pt idx="68">
                  <c:v>1.8450980400142569</c:v>
                </c:pt>
                <c:pt idx="69">
                  <c:v>1.8512583487190752</c:v>
                </c:pt>
                <c:pt idx="70">
                  <c:v>1.8573324964312685</c:v>
                </c:pt>
                <c:pt idx="71">
                  <c:v>1.8633228601204559</c:v>
                </c:pt>
                <c:pt idx="72">
                  <c:v>1.8692317197309762</c:v>
                </c:pt>
                <c:pt idx="73">
                  <c:v>1.8750612633917001</c:v>
                </c:pt>
                <c:pt idx="74">
                  <c:v>1.8808135922807914</c:v>
                </c:pt>
                <c:pt idx="75">
                  <c:v>1.8864907251724818</c:v>
                </c:pt>
                <c:pt idx="76">
                  <c:v>1.8920946026904804</c:v>
                </c:pt>
                <c:pt idx="77">
                  <c:v>1.8976270912904414</c:v>
                </c:pt>
                <c:pt idx="78">
                  <c:v>1.9030899869919435</c:v>
                </c:pt>
                <c:pt idx="79">
                  <c:v>1.9084850188786497</c:v>
                </c:pt>
                <c:pt idx="80">
                  <c:v>1.9138138523837167</c:v>
                </c:pt>
                <c:pt idx="81">
                  <c:v>1.919078092376074</c:v>
                </c:pt>
                <c:pt idx="82">
                  <c:v>1.9242792860618816</c:v>
                </c:pt>
                <c:pt idx="83">
                  <c:v>1.9294189257142926</c:v>
                </c:pt>
                <c:pt idx="84">
                  <c:v>1.9344984512435677</c:v>
                </c:pt>
                <c:pt idx="85">
                  <c:v>1.9395192526186185</c:v>
                </c:pt>
                <c:pt idx="86">
                  <c:v>1.9444826721501687</c:v>
                </c:pt>
                <c:pt idx="87">
                  <c:v>1.9493900066449128</c:v>
                </c:pt>
                <c:pt idx="88">
                  <c:v>1.954242509439325</c:v>
                </c:pt>
                <c:pt idx="89">
                  <c:v>1.9590413923210936</c:v>
                </c:pt>
                <c:pt idx="90">
                  <c:v>1.9637878273455553</c:v>
                </c:pt>
                <c:pt idx="91">
                  <c:v>1.968482948553935</c:v>
                </c:pt>
                <c:pt idx="92">
                  <c:v>1.9731278535996986</c:v>
                </c:pt>
                <c:pt idx="93">
                  <c:v>1.9777236052888478</c:v>
                </c:pt>
                <c:pt idx="94">
                  <c:v>1.9822712330395684</c:v>
                </c:pt>
                <c:pt idx="95">
                  <c:v>1.9867717342662448</c:v>
                </c:pt>
                <c:pt idx="96">
                  <c:v>1.9912260756924949</c:v>
                </c:pt>
                <c:pt idx="97">
                  <c:v>1.9956351945975499</c:v>
                </c:pt>
                <c:pt idx="98">
                  <c:v>2</c:v>
                </c:pt>
              </c:numCache>
            </c:numRef>
          </c:xVal>
          <c:yVal>
            <c:numRef>
              <c:f>[0]!YDconv</c:f>
              <c:numCache>
                <c:formatCode>General</c:formatCode>
                <c:ptCount val="99"/>
                <c:pt idx="0">
                  <c:v>-2.3405988854633359</c:v>
                </c:pt>
                <c:pt idx="1">
                  <c:v>-2.2285069359692704</c:v>
                </c:pt>
                <c:pt idx="2">
                  <c:v>-2.3405988854633359</c:v>
                </c:pt>
                <c:pt idx="3">
                  <c:v>-2.6674663624421813</c:v>
                </c:pt>
                <c:pt idx="4">
                  <c:v>-2.3405988854633359</c:v>
                </c:pt>
                <c:pt idx="5">
                  <c:v>-3.4124358352117423</c:v>
                </c:pt>
                <c:pt idx="6">
                  <c:v>-2.5467828148234943</c:v>
                </c:pt>
                <c:pt idx="7">
                  <c:v>-3.19325170252307</c:v>
                </c:pt>
                <c:pt idx="8">
                  <c:v>-2.7862460649060652</c:v>
                </c:pt>
                <c:pt idx="9">
                  <c:v>-2.8812277787320051</c:v>
                </c:pt>
                <c:pt idx="10">
                  <c:v>-3.1148250929900123</c:v>
                </c:pt>
                <c:pt idx="11">
                  <c:v>-2.7470261312998892</c:v>
                </c:pt>
                <c:pt idx="12">
                  <c:v>-3.9501572897909449</c:v>
                </c:pt>
                <c:pt idx="13">
                  <c:v>-2.6686280761936123</c:v>
                </c:pt>
                <c:pt idx="14">
                  <c:v>-3.3978230282302757</c:v>
                </c:pt>
                <c:pt idx="15">
                  <c:v>-2.5635925651865423</c:v>
                </c:pt>
                <c:pt idx="16">
                  <c:v>-3.0907725002411222</c:v>
                </c:pt>
                <c:pt idx="17">
                  <c:v>-2.6788449324075292</c:v>
                </c:pt>
                <c:pt idx="18">
                  <c:v>-2.9397479300019298</c:v>
                </c:pt>
                <c:pt idx="19">
                  <c:v>-2.8069106769888035</c:v>
                </c:pt>
                <c:pt idx="20">
                  <c:v>-2.8444698023468118</c:v>
                </c:pt>
                <c:pt idx="21">
                  <c:v>-2.9569804287964931</c:v>
                </c:pt>
                <c:pt idx="22">
                  <c:v>-2.7774045477447067</c:v>
                </c:pt>
                <c:pt idx="23">
                  <c:v>-3.1479472096764152</c:v>
                </c:pt>
                <c:pt idx="24">
                  <c:v>-2.7270886782744426</c:v>
                </c:pt>
                <c:pt idx="25">
                  <c:v>-3.4326891943312989</c:v>
                </c:pt>
                <c:pt idx="26">
                  <c:v>-2.6926227387493671</c:v>
                </c:pt>
                <c:pt idx="27">
                  <c:v>-4.1628222240240307</c:v>
                </c:pt>
                <c:pt idx="28">
                  <c:v>-2.7767074576589539</c:v>
                </c:pt>
                <c:pt idx="29">
                  <c:v>-3.7047835422736433</c:v>
                </c:pt>
                <c:pt idx="30">
                  <c:v>-2.8692561028950205</c:v>
                </c:pt>
                <c:pt idx="31">
                  <c:v>-3.3619402043303475</c:v>
                </c:pt>
                <c:pt idx="32">
                  <c:v>-2.9741089389965896</c:v>
                </c:pt>
                <c:pt idx="33">
                  <c:v>-3.1888307380838947</c:v>
                </c:pt>
                <c:pt idx="34">
                  <c:v>-3.0977702890075802</c:v>
                </c:pt>
                <c:pt idx="35">
                  <c:v>-3.0760357471908275</c:v>
                </c:pt>
                <c:pt idx="36">
                  <c:v>-3.2528119530441169</c:v>
                </c:pt>
                <c:pt idx="37">
                  <c:v>-2.9941895632616098</c:v>
                </c:pt>
                <c:pt idx="38">
                  <c:v>-3.4693215920535119</c:v>
                </c:pt>
                <c:pt idx="39">
                  <c:v>-2.9310641170486811</c:v>
                </c:pt>
                <c:pt idx="40">
                  <c:v>-3.8603362717192518</c:v>
                </c:pt>
                <c:pt idx="41">
                  <c:v>-2.8804020642850618</c:v>
                </c:pt>
                <c:pt idx="42">
                  <c:v>-4.3214387270097774</c:v>
                </c:pt>
                <c:pt idx="43">
                  <c:v>-3.0377362948637359</c:v>
                </c:pt>
                <c:pt idx="44">
                  <c:v>-3.6589335246195831</c:v>
                </c:pt>
                <c:pt idx="45">
                  <c:v>-3.1375636252732462</c:v>
                </c:pt>
                <c:pt idx="46">
                  <c:v>-3.4220260263691449</c:v>
                </c:pt>
                <c:pt idx="47">
                  <c:v>-3.2576426275367476</c:v>
                </c:pt>
                <c:pt idx="48">
                  <c:v>-3.2787385119066346</c:v>
                </c:pt>
                <c:pt idx="49">
                  <c:v>-3.4115056746846188</c:v>
                </c:pt>
                <c:pt idx="50">
                  <c:v>-3.1777063236005532</c:v>
                </c:pt>
                <c:pt idx="51">
                  <c:v>-3.6326347879589234</c:v>
                </c:pt>
                <c:pt idx="52">
                  <c:v>-3.1007369534630889</c:v>
                </c:pt>
                <c:pt idx="53">
                  <c:v>-4.0576995300166914</c:v>
                </c:pt>
                <c:pt idx="54">
                  <c:v>-3.0392603877019937</c:v>
                </c:pt>
                <c:pt idx="55">
                  <c:v>-4.3059924604276496</c:v>
                </c:pt>
                <c:pt idx="56">
                  <c:v>-2.9885560596583134</c:v>
                </c:pt>
                <c:pt idx="57">
                  <c:v>-3.7479392832364216</c:v>
                </c:pt>
                <c:pt idx="58">
                  <c:v>-2.9457488616832301</c:v>
                </c:pt>
                <c:pt idx="59">
                  <c:v>-3.5217258323517968</c:v>
                </c:pt>
                <c:pt idx="60">
                  <c:v>-2.8191350125612238</c:v>
                </c:pt>
                <c:pt idx="61">
                  <c:v>-3.3805221922869735</c:v>
                </c:pt>
                <c:pt idx="62">
                  <c:v>-2.8664479894319603</c:v>
                </c:pt>
                <c:pt idx="63">
                  <c:v>-3.2791013387095598</c:v>
                </c:pt>
                <c:pt idx="64">
                  <c:v>-2.9167609123621467</c:v>
                </c:pt>
                <c:pt idx="65">
                  <c:v>-3.2007745029725942</c:v>
                </c:pt>
                <c:pt idx="66">
                  <c:v>-2.9707400960624848</c:v>
                </c:pt>
                <c:pt idx="67">
                  <c:v>-3.137512552752534</c:v>
                </c:pt>
                <c:pt idx="68">
                  <c:v>-3.0292688175890854</c:v>
                </c:pt>
                <c:pt idx="69">
                  <c:v>-3.0848323245231937</c:v>
                </c:pt>
                <c:pt idx="70">
                  <c:v>-3.0935562980051983</c:v>
                </c:pt>
                <c:pt idx="71">
                  <c:v>-3.0399760310717046</c:v>
                </c:pt>
                <c:pt idx="72">
                  <c:v>-3.165324649923166</c:v>
                </c:pt>
                <c:pt idx="73">
                  <c:v>-3.0011270813733901</c:v>
                </c:pt>
                <c:pt idx="74">
                  <c:v>-3.2471521350136632</c:v>
                </c:pt>
                <c:pt idx="75">
                  <c:v>-2.9670261740607091</c:v>
                </c:pt>
                <c:pt idx="76">
                  <c:v>-3.3431617461498497</c:v>
                </c:pt>
                <c:pt idx="77">
                  <c:v>-2.9367650575476696</c:v>
                </c:pt>
                <c:pt idx="78">
                  <c:v>-3.46057976121774</c:v>
                </c:pt>
                <c:pt idx="79">
                  <c:v>-2.9096676055654354</c:v>
                </c:pt>
                <c:pt idx="80">
                  <c:v>-3.6139452490276494</c:v>
                </c:pt>
                <c:pt idx="81">
                  <c:v>-2.8852172971570913</c:v>
                </c:pt>
                <c:pt idx="82">
                  <c:v>-3.8403380236516038</c:v>
                </c:pt>
                <c:pt idx="83">
                  <c:v>-3.0117069254507416</c:v>
                </c:pt>
                <c:pt idx="84">
                  <c:v>-4.304820241271047</c:v>
                </c:pt>
                <c:pt idx="85">
                  <c:v>-3.0609705293903882</c:v>
                </c:pt>
                <c:pt idx="86">
                  <c:v>-4.3811391957778065</c:v>
                </c:pt>
                <c:pt idx="87">
                  <c:v>-3.114390409564685</c:v>
                </c:pt>
                <c:pt idx="88">
                  <c:v>-3.8886983844531451</c:v>
                </c:pt>
                <c:pt idx="89">
                  <c:v>-3.172977770953207</c:v>
                </c:pt>
                <c:pt idx="90">
                  <c:v>-3.6705336474225096</c:v>
                </c:pt>
                <c:pt idx="91">
                  <c:v>-3.2381442498038528</c:v>
                </c:pt>
                <c:pt idx="92">
                  <c:v>-3.5305802429542115</c:v>
                </c:pt>
                <c:pt idx="93">
                  <c:v>-3.3119475806917178</c:v>
                </c:pt>
                <c:pt idx="94">
                  <c:v>-3.4283363316821576</c:v>
                </c:pt>
                <c:pt idx="95">
                  <c:v>-3.39756022831155</c:v>
                </c:pt>
                <c:pt idx="96">
                  <c:v>-3.34833967209397</c:v>
                </c:pt>
                <c:pt idx="97">
                  <c:v>-3.5002588583161374</c:v>
                </c:pt>
                <c:pt idx="98">
                  <c:v>-3.2830173820717516</c:v>
                </c:pt>
              </c:numCache>
            </c:numRef>
          </c:yVal>
          <c:smooth val="1"/>
          <c:extLst>
            <c:ext xmlns:c16="http://schemas.microsoft.com/office/drawing/2014/chart" uri="{C3380CC4-5D6E-409C-BE32-E72D297353CC}">
              <c16:uniqueId val="{00000001-CF45-4D7B-BE0D-3B4B3A8D919B}"/>
            </c:ext>
          </c:extLst>
        </c:ser>
        <c:dLbls>
          <c:showLegendKey val="0"/>
          <c:showVal val="0"/>
          <c:showCatName val="0"/>
          <c:showSerName val="0"/>
          <c:showPercent val="0"/>
          <c:showBubbleSize val="0"/>
        </c:dLbls>
        <c:axId val="1641492319"/>
        <c:axId val="1641490399"/>
      </c:scatterChart>
      <c:valAx>
        <c:axId val="1641492319"/>
        <c:scaling>
          <c:orientation val="minMax"/>
          <c:max val="2"/>
          <c:min val="0.2800000000000000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0399"/>
        <c:crosses val="autoZero"/>
        <c:crossBetween val="midCat"/>
      </c:valAx>
      <c:valAx>
        <c:axId val="1641490399"/>
        <c:scaling>
          <c:orientation val="minMax"/>
          <c:max val="-2.1208753229788435"/>
          <c:min val="-4.488770808768233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log(erreur)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1492319"/>
        <c:crosses val="autoZero"/>
        <c:crossBetween val="midCat"/>
      </c:valAx>
      <c:spPr>
        <a:noFill/>
        <a:ln>
          <a:noFill/>
        </a:ln>
        <a:effectLst/>
      </c:spPr>
    </c:plotArea>
    <c:legend>
      <c:legendPos val="t"/>
      <c:legendEntry>
        <c:idx val="1"/>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Surface</a:t>
            </a:r>
            <a:r>
              <a:rPr lang="en-GB" baseline="0"/>
              <a:t> des prix de l'option</a:t>
            </a:r>
            <a:endParaRPr lang="en-GB"/>
          </a:p>
        </c:rich>
      </c:tx>
      <c:overlay val="0"/>
      <c:spPr>
        <a:noFill/>
        <a:ln>
          <a:noFill/>
        </a:ln>
        <a:effectLst/>
      </c:sp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VolLoc!$Q$15</c:f>
              <c:strCache>
                <c:ptCount val="1"/>
                <c:pt idx="0">
                  <c:v>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[0]!P1Series</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91DF-4595-8A70-69529EA278E5}"/>
            </c:ext>
          </c:extLst>
        </c:ser>
        <c:ser>
          <c:idx val="1"/>
          <c:order val="1"/>
          <c:tx>
            <c:strRef>
              <c:f>VolLoc!$Q$16</c:f>
              <c:strCache>
                <c:ptCount val="1"/>
                <c:pt idx="0">
                  <c:v>20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[0]!P2Series</c:f>
              <c:numCache>
                <c:formatCode>General</c:formatCode>
                <c:ptCount val="11"/>
                <c:pt idx="0">
                  <c:v>3.9632224884657246E-14</c:v>
                </c:pt>
                <c:pt idx="1">
                  <c:v>2.0267306461579961E-15</c:v>
                </c:pt>
                <c:pt idx="2">
                  <c:v>5.9092887624329249E-17</c:v>
                </c:pt>
                <c:pt idx="3">
                  <c:v>8.3362210744301532E-19</c:v>
                </c:pt>
                <c:pt idx="4">
                  <c:v>4.5314152815213678E-21</c:v>
                </c:pt>
                <c:pt idx="5">
                  <c:v>6.8909635635133841E-24</c:v>
                </c:pt>
                <c:pt idx="6">
                  <c:v>1.8549138919393646E-27</c:v>
                </c:pt>
                <c:pt idx="7">
                  <c:v>4.5030777355361192E-32</c:v>
                </c:pt>
                <c:pt idx="8">
                  <c:v>3.3728006260756835E-38</c:v>
                </c:pt>
                <c:pt idx="9">
                  <c:v>9.5636283314322164E-47</c:v>
                </c:pt>
                <c:pt idx="10">
                  <c:v>0</c:v>
                </c:pt>
              </c:numCache>
            </c:numRef>
          </c:val>
          <c:extLst>
            <c:ext xmlns:c16="http://schemas.microsoft.com/office/drawing/2014/chart" uri="{C3380CC4-5D6E-409C-BE32-E72D297353CC}">
              <c16:uniqueId val="{00000001-91DF-4595-8A70-69529EA278E5}"/>
            </c:ext>
          </c:extLst>
        </c:ser>
        <c:ser>
          <c:idx val="2"/>
          <c:order val="2"/>
          <c:tx>
            <c:strRef>
              <c:f>VolLoc!$Q$17</c:f>
              <c:strCache>
                <c:ptCount val="1"/>
                <c:pt idx="0">
                  <c:v>40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[0]!P3Series</c:f>
              <c:numCache>
                <c:formatCode>General</c:formatCode>
                <c:ptCount val="11"/>
                <c:pt idx="0">
                  <c:v>2.1785515425438907E-5</c:v>
                </c:pt>
                <c:pt idx="1">
                  <c:v>6.1350652406571722E-6</c:v>
                </c:pt>
                <c:pt idx="2">
                  <c:v>1.3035373641828142E-6</c:v>
                </c:pt>
                <c:pt idx="3">
                  <c:v>1.8786973047061066E-7</c:v>
                </c:pt>
                <c:pt idx="4">
                  <c:v>1.5575874835730549E-8</c:v>
                </c:pt>
                <c:pt idx="5">
                  <c:v>5.701569320902183E-10</c:v>
                </c:pt>
                <c:pt idx="6">
                  <c:v>5.9437026160363471E-12</c:v>
                </c:pt>
                <c:pt idx="7">
                  <c:v>8.4246125468418078E-15</c:v>
                </c:pt>
                <c:pt idx="8">
                  <c:v>4.6150735354519547E-19</c:v>
                </c:pt>
                <c:pt idx="9">
                  <c:v>9.230897894183057E-26</c:v>
                </c:pt>
                <c:pt idx="10">
                  <c:v>0</c:v>
                </c:pt>
              </c:numCache>
            </c:numRef>
          </c:val>
          <c:extLst>
            <c:ext xmlns:c16="http://schemas.microsoft.com/office/drawing/2014/chart" uri="{C3380CC4-5D6E-409C-BE32-E72D297353CC}">
              <c16:uniqueId val="{00000002-91DF-4595-8A70-69529EA278E5}"/>
            </c:ext>
          </c:extLst>
        </c:ser>
        <c:ser>
          <c:idx val="3"/>
          <c:order val="3"/>
          <c:tx>
            <c:strRef>
              <c:f>VolLoc!$Q$18</c:f>
              <c:strCache>
                <c:ptCount val="1"/>
                <c:pt idx="0">
                  <c:v>60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[0]!P4Series</c:f>
              <c:numCache>
                <c:formatCode>General</c:formatCode>
                <c:ptCount val="11"/>
                <c:pt idx="0">
                  <c:v>5.477574696098525E-2</c:v>
                </c:pt>
                <c:pt idx="1">
                  <c:v>3.3239392134870628E-2</c:v>
                </c:pt>
                <c:pt idx="2">
                  <c:v>1.8126585552587119E-2</c:v>
                </c:pt>
                <c:pt idx="3">
                  <c:v>8.5152740585998782E-3</c:v>
                </c:pt>
                <c:pt idx="4">
                  <c:v>3.2169599529259943E-3</c:v>
                </c:pt>
                <c:pt idx="5">
                  <c:v>8.6722294646180711E-4</c:v>
                </c:pt>
                <c:pt idx="6">
                  <c:v>1.3296376706785191E-4</c:v>
                </c:pt>
                <c:pt idx="7">
                  <c:v>7.178725663974309E-6</c:v>
                </c:pt>
                <c:pt idx="8">
                  <c:v>4.4076848346601226E-8</c:v>
                </c:pt>
                <c:pt idx="9">
                  <c:v>1.9080861061386584E-12</c:v>
                </c:pt>
                <c:pt idx="10">
                  <c:v>0</c:v>
                </c:pt>
              </c:numCache>
            </c:numRef>
          </c:val>
          <c:extLst>
            <c:ext xmlns:c16="http://schemas.microsoft.com/office/drawing/2014/chart" uri="{C3380CC4-5D6E-409C-BE32-E72D297353CC}">
              <c16:uniqueId val="{00000003-91DF-4595-8A70-69529EA278E5}"/>
            </c:ext>
          </c:extLst>
        </c:ser>
        <c:ser>
          <c:idx val="4"/>
          <c:order val="4"/>
          <c:tx>
            <c:strRef>
              <c:f>VolLoc!$Q$19</c:f>
              <c:strCache>
                <c:ptCount val="1"/>
                <c:pt idx="0">
                  <c:v>80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[0]!P5Series</c:f>
              <c:numCache>
                <c:formatCode>General</c:formatCode>
                <c:ptCount val="11"/>
                <c:pt idx="0">
                  <c:v>1.8585141065180819</c:v>
                </c:pt>
                <c:pt idx="1">
                  <c:v>1.5458206542529864</c:v>
                </c:pt>
                <c:pt idx="2">
                  <c:v>1.2446275979750065</c:v>
                </c:pt>
                <c:pt idx="3">
                  <c:v>0.9587688901082505</c:v>
                </c:pt>
                <c:pt idx="4">
                  <c:v>0.69349550973313134</c:v>
                </c:pt>
                <c:pt idx="5">
                  <c:v>0.45606920892052499</c:v>
                </c:pt>
                <c:pt idx="6">
                  <c:v>0.25648058937077572</c:v>
                </c:pt>
                <c:pt idx="7">
                  <c:v>0.10777172659037919</c:v>
                </c:pt>
                <c:pt idx="8">
                  <c:v>2.3247789852786589E-2</c:v>
                </c:pt>
                <c:pt idx="9">
                  <c:v>5.3217783093306812E-4</c:v>
                </c:pt>
                <c:pt idx="10">
                  <c:v>0</c:v>
                </c:pt>
              </c:numCache>
            </c:numRef>
          </c:val>
          <c:extLst>
            <c:ext xmlns:c16="http://schemas.microsoft.com/office/drawing/2014/chart" uri="{C3380CC4-5D6E-409C-BE32-E72D297353CC}">
              <c16:uniqueId val="{00000004-91DF-4595-8A70-69529EA278E5}"/>
            </c:ext>
          </c:extLst>
        </c:ser>
        <c:ser>
          <c:idx val="5"/>
          <c:order val="5"/>
          <c:tx>
            <c:strRef>
              <c:f>VolLoc!$Q$20</c:f>
              <c:strCache>
                <c:ptCount val="1"/>
                <c:pt idx="0">
                  <c:v>100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[0]!P6Series</c:f>
              <c:numCache>
                <c:formatCode>General</c:formatCode>
                <c:ptCount val="11"/>
                <c:pt idx="0">
                  <c:v>10.447097532344079</c:v>
                </c:pt>
                <c:pt idx="1">
                  <c:v>9.7951534496309147</c:v>
                </c:pt>
                <c:pt idx="2">
                  <c:v>9.1183806379606889</c:v>
                </c:pt>
                <c:pt idx="3">
                  <c:v>8.412382769126884</c:v>
                </c:pt>
                <c:pt idx="4">
                  <c:v>7.6710041063512948</c:v>
                </c:pt>
                <c:pt idx="5">
                  <c:v>6.8852850614244367</c:v>
                </c:pt>
                <c:pt idx="6">
                  <c:v>6.0414039719933932</c:v>
                </c:pt>
                <c:pt idx="7">
                  <c:v>5.1160424898942756</c:v>
                </c:pt>
                <c:pt idx="8">
                  <c:v>4.0636665303747872</c:v>
                </c:pt>
                <c:pt idx="9">
                  <c:v>2.766171598374827</c:v>
                </c:pt>
                <c:pt idx="10">
                  <c:v>0</c:v>
                </c:pt>
              </c:numCache>
            </c:numRef>
          </c:val>
          <c:extLst>
            <c:ext xmlns:c16="http://schemas.microsoft.com/office/drawing/2014/chart" uri="{C3380CC4-5D6E-409C-BE32-E72D297353CC}">
              <c16:uniqueId val="{00000005-91DF-4595-8A70-69529EA278E5}"/>
            </c:ext>
          </c:extLst>
        </c:ser>
        <c:ser>
          <c:idx val="6"/>
          <c:order val="6"/>
          <c:tx>
            <c:strRef>
              <c:f>VolLoc!$Q$21</c:f>
              <c:strCache>
                <c:ptCount val="1"/>
                <c:pt idx="0">
                  <c:v>120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[0]!P7Series</c:f>
              <c:numCache>
                <c:formatCode>General</c:formatCode>
                <c:ptCount val="11"/>
                <c:pt idx="0">
                  <c:v>26.140017070653975</c:v>
                </c:pt>
                <c:pt idx="1">
                  <c:v>25.524619794992233</c:v>
                </c:pt>
                <c:pt idx="2">
                  <c:v>24.89585303950912</c:v>
                </c:pt>
                <c:pt idx="3">
                  <c:v>24.255458894811262</c:v>
                </c:pt>
                <c:pt idx="4">
                  <c:v>23.606012071261727</c:v>
                </c:pt>
                <c:pt idx="5">
                  <c:v>22.9514753367453</c:v>
                </c:pt>
                <c:pt idx="6">
                  <c:v>22.298323438850133</c:v>
                </c:pt>
                <c:pt idx="7">
                  <c:v>21.657815149625417</c:v>
                </c:pt>
                <c:pt idx="8">
                  <c:v>21.049863744946414</c:v>
                </c:pt>
                <c:pt idx="9">
                  <c:v>20.50198321642867</c:v>
                </c:pt>
                <c:pt idx="10">
                  <c:v>20</c:v>
                </c:pt>
              </c:numCache>
            </c:numRef>
          </c:val>
          <c:extLst>
            <c:ext xmlns:c16="http://schemas.microsoft.com/office/drawing/2014/chart" uri="{C3380CC4-5D6E-409C-BE32-E72D297353CC}">
              <c16:uniqueId val="{00000006-91DF-4595-8A70-69529EA278E5}"/>
            </c:ext>
          </c:extLst>
        </c:ser>
        <c:ser>
          <c:idx val="7"/>
          <c:order val="7"/>
          <c:tx>
            <c:strRef>
              <c:f>VolLoc!$Q$22</c:f>
              <c:strCache>
                <c:ptCount val="1"/>
                <c:pt idx="0">
                  <c:v>140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[0]!P8Series</c:f>
              <c:numCache>
                <c:formatCode>General</c:formatCode>
                <c:ptCount val="11"/>
                <c:pt idx="0">
                  <c:v>44.842827217998476</c:v>
                </c:pt>
                <c:pt idx="1">
                  <c:v>44.396283585131258</c:v>
                </c:pt>
                <c:pt idx="2">
                  <c:v>43.934735204229838</c:v>
                </c:pt>
                <c:pt idx="3">
                  <c:v>43.460074433344204</c:v>
                </c:pt>
                <c:pt idx="4">
                  <c:v>42.974906440794307</c:v>
                </c:pt>
                <c:pt idx="5">
                  <c:v>42.482543351539199</c:v>
                </c:pt>
                <c:pt idx="6">
                  <c:v>41.986698845332569</c:v>
                </c:pt>
                <c:pt idx="7">
                  <c:v>41.490559446155018</c:v>
                </c:pt>
                <c:pt idx="8">
                  <c:v>40.995142800355097</c:v>
                </c:pt>
                <c:pt idx="9">
                  <c:v>40.498752280409079</c:v>
                </c:pt>
                <c:pt idx="10">
                  <c:v>40</c:v>
                </c:pt>
              </c:numCache>
            </c:numRef>
          </c:val>
          <c:extLst>
            <c:ext xmlns:c16="http://schemas.microsoft.com/office/drawing/2014/chart" uri="{C3380CC4-5D6E-409C-BE32-E72D297353CC}">
              <c16:uniqueId val="{00000007-91DF-4595-8A70-69529EA278E5}"/>
            </c:ext>
          </c:extLst>
        </c:ser>
        <c:ser>
          <c:idx val="8"/>
          <c:order val="8"/>
          <c:tx>
            <c:strRef>
              <c:f>VolLoc!$Q$23</c:f>
              <c:strCache>
                <c:ptCount val="1"/>
                <c:pt idx="0">
                  <c:v>160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[0]!P9Series</c:f>
              <c:numCache>
                <c:formatCode>General</c:formatCode>
                <c:ptCount val="11"/>
                <c:pt idx="0">
                  <c:v>63.594934898796701</c:v>
                </c:pt>
                <c:pt idx="1">
                  <c:v>63.388437485694212</c:v>
                </c:pt>
                <c:pt idx="2">
                  <c:v>63.154487610064706</c:v>
                </c:pt>
                <c:pt idx="3">
                  <c:v>62.88991110632827</c:v>
                </c:pt>
                <c:pt idx="4">
                  <c:v>62.591076542364654</c:v>
                </c:pt>
                <c:pt idx="5">
                  <c:v>62.254054812925673</c:v>
                </c:pt>
                <c:pt idx="6">
                  <c:v>61.875178397244476</c:v>
                </c:pt>
                <c:pt idx="7">
                  <c:v>61.452518773461499</c:v>
                </c:pt>
                <c:pt idx="8">
                  <c:v>60.989208722524467</c:v>
                </c:pt>
                <c:pt idx="9">
                  <c:v>60.498676846031962</c:v>
                </c:pt>
                <c:pt idx="10">
                  <c:v>60</c:v>
                </c:pt>
              </c:numCache>
            </c:numRef>
          </c:val>
          <c:extLst>
            <c:ext xmlns:c16="http://schemas.microsoft.com/office/drawing/2014/chart" uri="{C3380CC4-5D6E-409C-BE32-E72D297353CC}">
              <c16:uniqueId val="{00000008-91DF-4595-8A70-69529EA278E5}"/>
            </c:ext>
          </c:extLst>
        </c:ser>
        <c:ser>
          <c:idx val="9"/>
          <c:order val="9"/>
          <c:tx>
            <c:strRef>
              <c:f>VolLoc!$Q$24</c:f>
              <c:strCache>
                <c:ptCount val="1"/>
                <c:pt idx="0">
                  <c:v>180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[0]!P10Series</c:f>
              <c:numCache>
                <c:formatCode>General</c:formatCode>
                <c:ptCount val="11"/>
                <c:pt idx="0">
                  <c:v>80.711969629713508</c:v>
                </c:pt>
                <c:pt idx="1">
                  <c:v>80.838318788861415</c:v>
                </c:pt>
                <c:pt idx="2">
                  <c:v>80.944378037174118</c:v>
                </c:pt>
                <c:pt idx="3">
                  <c:v>81.025989956317645</c:v>
                </c:pt>
                <c:pt idx="4">
                  <c:v>81.077700956993908</c:v>
                </c:pt>
                <c:pt idx="5">
                  <c:v>81.092150291662335</c:v>
                </c:pt>
                <c:pt idx="6">
                  <c:v>81.058986332693934</c:v>
                </c:pt>
                <c:pt idx="7">
                  <c:v>80.962802248356383</c:v>
                </c:pt>
                <c:pt idx="8">
                  <c:v>80.779016166133204</c:v>
                </c:pt>
                <c:pt idx="9">
                  <c:v>80.466743961242656</c:v>
                </c:pt>
                <c:pt idx="10">
                  <c:v>80</c:v>
                </c:pt>
              </c:numCache>
            </c:numRef>
          </c:val>
          <c:extLst>
            <c:ext xmlns:c16="http://schemas.microsoft.com/office/drawing/2014/chart" uri="{C3380CC4-5D6E-409C-BE32-E72D297353CC}">
              <c16:uniqueId val="{00000009-91DF-4595-8A70-69529EA278E5}"/>
            </c:ext>
          </c:extLst>
        </c:ser>
        <c:ser>
          <c:idx val="10"/>
          <c:order val="10"/>
          <c:tx>
            <c:strRef>
              <c:f>VolLoc!$Q$25</c:f>
              <c:strCache>
                <c:ptCount val="1"/>
                <c:pt idx="0">
                  <c:v>200</c:v>
                </c:pt>
              </c:strCache>
            </c:strRef>
          </c:tx>
          <c:cat>
            <c:numRef>
              <c:f>VolLoc!$R$14:$AB$14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[0]!P11Series</c:f>
              <c:numCache>
                <c:formatCode>General</c:formatCode>
                <c:ptCount val="11"/>
                <c:pt idx="0">
                  <c:v>95.122942450071406</c:v>
                </c:pt>
                <c:pt idx="1">
                  <c:v>95.599748183309984</c:v>
                </c:pt>
                <c:pt idx="2">
                  <c:v>96.078943915232315</c:v>
                </c:pt>
                <c:pt idx="3">
                  <c:v>96.560541625756642</c:v>
                </c:pt>
                <c:pt idx="4">
                  <c:v>97.044553354850819</c:v>
                </c:pt>
                <c:pt idx="5">
                  <c:v>97.530991202833263</c:v>
                </c:pt>
                <c:pt idx="6">
                  <c:v>98.019867330675524</c:v>
                </c:pt>
                <c:pt idx="7">
                  <c:v>98.511193960306258</c:v>
                </c:pt>
                <c:pt idx="8">
                  <c:v>99.004983374916804</c:v>
                </c:pt>
                <c:pt idx="9">
                  <c:v>99.501247919268238</c:v>
                </c:pt>
                <c:pt idx="10">
                  <c:v>100</c:v>
                </c:pt>
              </c:numCache>
            </c:numRef>
          </c:val>
          <c:extLst>
            <c:ext xmlns:c16="http://schemas.microsoft.com/office/drawing/2014/chart" uri="{C3380CC4-5D6E-409C-BE32-E72D297353CC}">
              <c16:uniqueId val="{0000000A-91DF-4595-8A70-69529EA278E5}"/>
            </c:ext>
          </c:extLst>
        </c:ser>
        <c:bandFmts>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236615455"/>
        <c:axId val="236623135"/>
        <c:axId val="1485909327"/>
      </c:surface3DChart>
      <c:catAx>
        <c:axId val="2366154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23135"/>
        <c:crosses val="autoZero"/>
        <c:auto val="1"/>
        <c:lblAlgn val="ctr"/>
        <c:lblOffset val="100"/>
        <c:noMultiLvlLbl val="0"/>
      </c:catAx>
      <c:valAx>
        <c:axId val="2366231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15455"/>
        <c:crosses val="autoZero"/>
        <c:crossBetween val="midCat"/>
      </c:valAx>
      <c:serAx>
        <c:axId val="1485909327"/>
        <c:scaling>
          <c:orientation val="minMax"/>
        </c:scaling>
        <c:delete val="0"/>
        <c:axPos val="b"/>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a:t>
                </a:r>
              </a:p>
            </c:rich>
          </c:tx>
          <c:overlay val="0"/>
          <c:spPr>
            <a:noFill/>
            <a:ln>
              <a:noFill/>
            </a:ln>
            <a:effectLst/>
          </c:sp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623135"/>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Surface</a:t>
            </a:r>
            <a:r>
              <a:rPr lang="en-GB" baseline="0"/>
              <a:t> des </a:t>
            </a:r>
            <a:r>
              <a:rPr lang="el-GR" baseline="0">
                <a:latin typeface="Aptos Narrow" panose="020B0004020202020204" pitchFamily="34" charset="0"/>
              </a:rPr>
              <a:t>Δ</a:t>
            </a:r>
            <a:r>
              <a:rPr lang="en-GB" baseline="0"/>
              <a:t> de l'option</a:t>
            </a:r>
            <a:endParaRPr lang="en-GB"/>
          </a:p>
        </c:rich>
      </c:tx>
      <c:overlay val="0"/>
      <c:spPr>
        <a:noFill/>
        <a:ln>
          <a:noFill/>
        </a:ln>
        <a:effectLst/>
      </c:sp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VolLoc!$AG$15</c:f>
              <c:strCache>
                <c:ptCount val="1"/>
                <c:pt idx="0">
                  <c:v>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[0]!D1Series</c:f>
              <c:numCache>
                <c:formatCode>General</c:formatCode>
                <c:ptCount val="11"/>
                <c:pt idx="0">
                  <c:v>8.1196026942394863E-42</c:v>
                </c:pt>
                <c:pt idx="1">
                  <c:v>3.9311752106239236E-44</c:v>
                </c:pt>
                <c:pt idx="2">
                  <c:v>9.0244300794019565E-47</c:v>
                </c:pt>
                <c:pt idx="3">
                  <c:v>8.2729615485690431E-50</c:v>
                </c:pt>
                <c:pt idx="4">
                  <c:v>2.4164695429502761E-53</c:v>
                </c:pt>
                <c:pt idx="5">
                  <c:v>1.6614844291029246E-57</c:v>
                </c:pt>
                <c:pt idx="6">
                  <c:v>1.769455926071312E-62</c:v>
                </c:pt>
                <c:pt idx="7">
                  <c:v>1.58402525832429E-68</c:v>
                </c:pt>
                <c:pt idx="8">
                  <c:v>4.4187144825113715E-76</c:v>
                </c:pt>
                <c:pt idx="9">
                  <c:v>5.1140175468539504E-86</c:v>
                </c:pt>
                <c:pt idx="10">
                  <c:v>0</c:v>
                </c:pt>
              </c:numCache>
            </c:numRef>
          </c:val>
          <c:extLst>
            <c:ext xmlns:c16="http://schemas.microsoft.com/office/drawing/2014/chart" uri="{C3380CC4-5D6E-409C-BE32-E72D297353CC}">
              <c16:uniqueId val="{00000000-4F0A-4158-9F8E-8535C7340D2F}"/>
            </c:ext>
          </c:extLst>
        </c:ser>
        <c:ser>
          <c:idx val="1"/>
          <c:order val="1"/>
          <c:tx>
            <c:strRef>
              <c:f>VolLoc!$AG$16</c:f>
              <c:strCache>
                <c:ptCount val="1"/>
                <c:pt idx="0">
                  <c:v>20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[0]!D2Series</c:f>
              <c:numCache>
                <c:formatCode>General</c:formatCode>
                <c:ptCount val="11"/>
                <c:pt idx="0">
                  <c:v>9.396567662956328E-14</c:v>
                </c:pt>
                <c:pt idx="1">
                  <c:v>5.423381504267429E-15</c:v>
                </c:pt>
                <c:pt idx="2">
                  <c:v>1.8071046572232707E-16</c:v>
                </c:pt>
                <c:pt idx="3">
                  <c:v>2.9537868895764174E-18</c:v>
                </c:pt>
                <c:pt idx="4">
                  <c:v>1.887782588754187E-20</c:v>
                </c:pt>
                <c:pt idx="5">
                  <c:v>3.4240537708893248E-23</c:v>
                </c:pt>
                <c:pt idx="6">
                  <c:v>1.1128591846963336E-26</c:v>
                </c:pt>
                <c:pt idx="7">
                  <c:v>3.2872011448139342E-31</c:v>
                </c:pt>
                <c:pt idx="8">
                  <c:v>2.9992175623496754E-37</c:v>
                </c:pt>
                <c:pt idx="9">
                  <c:v>1.0299682233520096E-45</c:v>
                </c:pt>
                <c:pt idx="10">
                  <c:v>0</c:v>
                </c:pt>
              </c:numCache>
            </c:numRef>
          </c:val>
          <c:extLst>
            <c:ext xmlns:c16="http://schemas.microsoft.com/office/drawing/2014/chart" uri="{C3380CC4-5D6E-409C-BE32-E72D297353CC}">
              <c16:uniqueId val="{00000001-4F0A-4158-9F8E-8535C7340D2F}"/>
            </c:ext>
          </c:extLst>
        </c:ser>
        <c:ser>
          <c:idx val="2"/>
          <c:order val="2"/>
          <c:tx>
            <c:strRef>
              <c:f>VolLoc!$AG$17</c:f>
              <c:strCache>
                <c:ptCount val="1"/>
                <c:pt idx="0">
                  <c:v>40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[0]!D3Series</c:f>
              <c:numCache>
                <c:formatCode>General</c:formatCode>
                <c:ptCount val="11"/>
                <c:pt idx="0">
                  <c:v>1.3356793313676414E-5</c:v>
                </c:pt>
                <c:pt idx="1">
                  <c:v>4.1705001930909318E-6</c:v>
                </c:pt>
                <c:pt idx="2">
                  <c:v>9.9519962247274235E-7</c:v>
                </c:pt>
                <c:pt idx="3">
                  <c:v>1.6369068991219293E-7</c:v>
                </c:pt>
                <c:pt idx="4">
                  <c:v>1.580346199136986E-8</c:v>
                </c:pt>
                <c:pt idx="5">
                  <c:v>6.9075822832554136E-10</c:v>
                </c:pt>
                <c:pt idx="6">
                  <c:v>8.8567853920245697E-12</c:v>
                </c:pt>
                <c:pt idx="7">
                  <c:v>1.5904905335328411E-14</c:v>
                </c:pt>
                <c:pt idx="8">
                  <c:v>1.1250675735359393E-18</c:v>
                </c:pt>
                <c:pt idx="9">
                  <c:v>2.9006960738003751E-25</c:v>
                </c:pt>
                <c:pt idx="10">
                  <c:v>0</c:v>
                </c:pt>
              </c:numCache>
            </c:numRef>
          </c:val>
          <c:extLst>
            <c:ext xmlns:c16="http://schemas.microsoft.com/office/drawing/2014/chart" uri="{C3380CC4-5D6E-409C-BE32-E72D297353CC}">
              <c16:uniqueId val="{00000002-4F0A-4158-9F8E-8535C7340D2F}"/>
            </c:ext>
          </c:extLst>
        </c:ser>
        <c:ser>
          <c:idx val="3"/>
          <c:order val="3"/>
          <c:tx>
            <c:strRef>
              <c:f>VolLoc!$AG$18</c:f>
              <c:strCache>
                <c:ptCount val="1"/>
                <c:pt idx="0">
                  <c:v>60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[0]!D4Series</c:f>
              <c:numCache>
                <c:formatCode>General</c:formatCode>
                <c:ptCount val="11"/>
                <c:pt idx="0">
                  <c:v>1.3864466164677278E-2</c:v>
                </c:pt>
                <c:pt idx="1">
                  <c:v>9.2305327802460844E-3</c:v>
                </c:pt>
                <c:pt idx="2">
                  <c:v>5.5888963826451156E-3</c:v>
                </c:pt>
                <c:pt idx="3">
                  <c:v>2.9596985802664787E-3</c:v>
                </c:pt>
                <c:pt idx="4">
                  <c:v>1.2859125585849987E-3</c:v>
                </c:pt>
                <c:pt idx="5">
                  <c:v>4.0967947163260122E-4</c:v>
                </c:pt>
                <c:pt idx="6">
                  <c:v>7.7159006825728714E-5</c:v>
                </c:pt>
                <c:pt idx="7">
                  <c:v>5.4131407682552724E-6</c:v>
                </c:pt>
                <c:pt idx="8">
                  <c:v>4.6494109868634939E-8</c:v>
                </c:pt>
                <c:pt idx="9">
                  <c:v>2.9537234058073661E-12</c:v>
                </c:pt>
                <c:pt idx="10">
                  <c:v>0</c:v>
                </c:pt>
              </c:numCache>
            </c:numRef>
          </c:val>
          <c:extLst>
            <c:ext xmlns:c16="http://schemas.microsoft.com/office/drawing/2014/chart" uri="{C3380CC4-5D6E-409C-BE32-E72D297353CC}">
              <c16:uniqueId val="{00000003-4F0A-4158-9F8E-8535C7340D2F}"/>
            </c:ext>
          </c:extLst>
        </c:ser>
        <c:ser>
          <c:idx val="4"/>
          <c:order val="4"/>
          <c:tx>
            <c:strRef>
              <c:f>VolLoc!$AG$19</c:f>
              <c:strCache>
                <c:ptCount val="1"/>
                <c:pt idx="0">
                  <c:v>80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[0]!D5Series</c:f>
              <c:numCache>
                <c:formatCode>General</c:formatCode>
                <c:ptCount val="11"/>
                <c:pt idx="0">
                  <c:v>0.2218863684303366</c:v>
                </c:pt>
                <c:pt idx="1">
                  <c:v>0.19930484828601358</c:v>
                </c:pt>
                <c:pt idx="2">
                  <c:v>0.17505551742230929</c:v>
                </c:pt>
                <c:pt idx="3">
                  <c:v>0.14902631769500257</c:v>
                </c:pt>
                <c:pt idx="4">
                  <c:v>0.12119900683297347</c:v>
                </c:pt>
                <c:pt idx="5">
                  <c:v>9.1793889219864144E-2</c:v>
                </c:pt>
                <c:pt idx="6">
                  <c:v>6.1599393013998319E-2</c:v>
                </c:pt>
                <c:pt idx="7">
                  <c:v>3.2710558721264223E-2</c:v>
                </c:pt>
                <c:pt idx="8">
                  <c:v>9.9194185144045911E-3</c:v>
                </c:pt>
                <c:pt idx="9">
                  <c:v>4.0161577147760177E-4</c:v>
                </c:pt>
                <c:pt idx="10">
                  <c:v>0</c:v>
                </c:pt>
              </c:numCache>
            </c:numRef>
          </c:val>
          <c:extLst>
            <c:ext xmlns:c16="http://schemas.microsoft.com/office/drawing/2014/chart" uri="{C3380CC4-5D6E-409C-BE32-E72D297353CC}">
              <c16:uniqueId val="{00000004-4F0A-4158-9F8E-8535C7340D2F}"/>
            </c:ext>
          </c:extLst>
        </c:ser>
        <c:ser>
          <c:idx val="5"/>
          <c:order val="5"/>
          <c:tx>
            <c:strRef>
              <c:f>VolLoc!$AG$20</c:f>
              <c:strCache>
                <c:ptCount val="1"/>
                <c:pt idx="0">
                  <c:v>100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[0]!D6Series</c:f>
              <c:numCache>
                <c:formatCode>General</c:formatCode>
                <c:ptCount val="11"/>
                <c:pt idx="0">
                  <c:v>0.63656021534162299</c:v>
                </c:pt>
                <c:pt idx="1">
                  <c:v>0.62991019460233222</c:v>
                </c:pt>
                <c:pt idx="2">
                  <c:v>0.62277260001759149</c:v>
                </c:pt>
                <c:pt idx="3">
                  <c:v>0.61508803188371619</c:v>
                </c:pt>
                <c:pt idx="4">
                  <c:v>0.60676151842685933</c:v>
                </c:pt>
                <c:pt idx="5">
                  <c:v>0.59764289417241834</c:v>
                </c:pt>
                <c:pt idx="6">
                  <c:v>0.58749089908782848</c:v>
                </c:pt>
                <c:pt idx="7">
                  <c:v>0.5758932746702885</c:v>
                </c:pt>
                <c:pt idx="8">
                  <c:v>0.5620444452444886</c:v>
                </c:pt>
                <c:pt idx="9">
                  <c:v>0.54387611138432335</c:v>
                </c:pt>
                <c:pt idx="10">
                  <c:v>0.5</c:v>
                </c:pt>
              </c:numCache>
            </c:numRef>
          </c:val>
          <c:extLst>
            <c:ext xmlns:c16="http://schemas.microsoft.com/office/drawing/2014/chart" uri="{C3380CC4-5D6E-409C-BE32-E72D297353CC}">
              <c16:uniqueId val="{00000005-4F0A-4158-9F8E-8535C7340D2F}"/>
            </c:ext>
          </c:extLst>
        </c:ser>
        <c:ser>
          <c:idx val="6"/>
          <c:order val="6"/>
          <c:tx>
            <c:strRef>
              <c:f>VolLoc!$AG$21</c:f>
              <c:strCache>
                <c:ptCount val="1"/>
                <c:pt idx="0">
                  <c:v>120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[0]!D7Series</c:f>
              <c:numCache>
                <c:formatCode>General</c:formatCode>
                <c:ptCount val="11"/>
                <c:pt idx="0">
                  <c:v>0.89267536385040991</c:v>
                </c:pt>
                <c:pt idx="1">
                  <c:v>0.89966159889179131</c:v>
                </c:pt>
                <c:pt idx="2">
                  <c:v>0.90732574299822133</c:v>
                </c:pt>
                <c:pt idx="3">
                  <c:v>0.91596274298560232</c:v>
                </c:pt>
                <c:pt idx="4">
                  <c:v>0.92595061378490584</c:v>
                </c:pt>
                <c:pt idx="5">
                  <c:v>0.9377416308888602</c:v>
                </c:pt>
                <c:pt idx="6">
                  <c:v>0.95178737856461026</c:v>
                </c:pt>
                <c:pt idx="7">
                  <c:v>0.96823991605468862</c:v>
                </c:pt>
                <c:pt idx="8">
                  <c:v>0.98585261629763465</c:v>
                </c:pt>
                <c:pt idx="9">
                  <c:v>0.99854638622105796</c:v>
                </c:pt>
                <c:pt idx="10">
                  <c:v>1</c:v>
                </c:pt>
              </c:numCache>
            </c:numRef>
          </c:val>
          <c:extLst>
            <c:ext xmlns:c16="http://schemas.microsoft.com/office/drawing/2014/chart" uri="{C3380CC4-5D6E-409C-BE32-E72D297353CC}">
              <c16:uniqueId val="{00000006-4F0A-4158-9F8E-8535C7340D2F}"/>
            </c:ext>
          </c:extLst>
        </c:ser>
        <c:ser>
          <c:idx val="7"/>
          <c:order val="7"/>
          <c:tx>
            <c:strRef>
              <c:f>VolLoc!$AG$22</c:f>
              <c:strCache>
                <c:ptCount val="1"/>
                <c:pt idx="0">
                  <c:v>140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[0]!D8Series</c:f>
              <c:numCache>
                <c:formatCode>General</c:formatCode>
                <c:ptCount val="11"/>
                <c:pt idx="0">
                  <c:v>0.95375804843000367</c:v>
                </c:pt>
                <c:pt idx="1">
                  <c:v>0.96352054338489523</c:v>
                </c:pt>
                <c:pt idx="2">
                  <c:v>0.9725930896841426</c:v>
                </c:pt>
                <c:pt idx="3">
                  <c:v>0.98076017188935083</c:v>
                </c:pt>
                <c:pt idx="4">
                  <c:v>0.98776570850372636</c:v>
                </c:pt>
                <c:pt idx="5">
                  <c:v>0.99332815773280814</c:v>
                </c:pt>
                <c:pt idx="6">
                  <c:v>0.9971953651563048</c:v>
                </c:pt>
                <c:pt idx="7">
                  <c:v>0.99928585961529137</c:v>
                </c:pt>
                <c:pt idx="8">
                  <c:v>0.999944119105038</c:v>
                </c:pt>
                <c:pt idx="9">
                  <c:v>0.99999988954247954</c:v>
                </c:pt>
                <c:pt idx="10">
                  <c:v>1</c:v>
                </c:pt>
              </c:numCache>
            </c:numRef>
          </c:val>
          <c:extLst>
            <c:ext xmlns:c16="http://schemas.microsoft.com/office/drawing/2014/chart" uri="{C3380CC4-5D6E-409C-BE32-E72D297353CC}">
              <c16:uniqueId val="{00000007-4F0A-4158-9F8E-8535C7340D2F}"/>
            </c:ext>
          </c:extLst>
        </c:ser>
        <c:ser>
          <c:idx val="8"/>
          <c:order val="8"/>
          <c:tx>
            <c:strRef>
              <c:f>VolLoc!$AG$23</c:f>
              <c:strCache>
                <c:ptCount val="1"/>
                <c:pt idx="0">
                  <c:v>160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[0]!D9Series</c:f>
              <c:numCache>
                <c:formatCode>General</c:formatCode>
                <c:ptCount val="11"/>
                <c:pt idx="0">
                  <c:v>0.90791001153059625</c:v>
                </c:pt>
                <c:pt idx="1">
                  <c:v>0.92247594473009897</c:v>
                </c:pt>
                <c:pt idx="2">
                  <c:v>0.93678969949428392</c:v>
                </c:pt>
                <c:pt idx="3">
                  <c:v>0.9506452306978197</c:v>
                </c:pt>
                <c:pt idx="4">
                  <c:v>0.96376151966183699</c:v>
                </c:pt>
                <c:pt idx="5">
                  <c:v>0.97575193988222253</c:v>
                </c:pt>
                <c:pt idx="6">
                  <c:v>0.98607913555086668</c:v>
                </c:pt>
                <c:pt idx="7">
                  <c:v>0.99400630645887489</c:v>
                </c:pt>
                <c:pt idx="8">
                  <c:v>0.99867678964376694</c:v>
                </c:pt>
                <c:pt idx="9">
                  <c:v>0.99997109520292327</c:v>
                </c:pt>
                <c:pt idx="10">
                  <c:v>1</c:v>
                </c:pt>
              </c:numCache>
            </c:numRef>
          </c:val>
          <c:extLst>
            <c:ext xmlns:c16="http://schemas.microsoft.com/office/drawing/2014/chart" uri="{C3380CC4-5D6E-409C-BE32-E72D297353CC}">
              <c16:uniqueId val="{00000008-4F0A-4158-9F8E-8535C7340D2F}"/>
            </c:ext>
          </c:extLst>
        </c:ser>
        <c:ser>
          <c:idx val="9"/>
          <c:order val="9"/>
          <c:tx>
            <c:strRef>
              <c:f>VolLoc!$AG$24</c:f>
              <c:strCache>
                <c:ptCount val="1"/>
                <c:pt idx="0">
                  <c:v>180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[0]!D10Series</c:f>
              <c:numCache>
                <c:formatCode>General</c:formatCode>
                <c:ptCount val="11"/>
                <c:pt idx="0">
                  <c:v>0.79469959438323912</c:v>
                </c:pt>
                <c:pt idx="1">
                  <c:v>0.81267999012660397</c:v>
                </c:pt>
                <c:pt idx="2">
                  <c:v>0.83156842416853038</c:v>
                </c:pt>
                <c:pt idx="3">
                  <c:v>0.8514814223736451</c:v>
                </c:pt>
                <c:pt idx="4">
                  <c:v>0.87255140668129627</c:v>
                </c:pt>
                <c:pt idx="5">
                  <c:v>0.89491519655200591</c:v>
                </c:pt>
                <c:pt idx="6">
                  <c:v>0.91867483827623175</c:v>
                </c:pt>
                <c:pt idx="7">
                  <c:v>0.94377191605130406</c:v>
                </c:pt>
                <c:pt idx="8">
                  <c:v>0.96953213465082655</c:v>
                </c:pt>
                <c:pt idx="9">
                  <c:v>0.99257900341465444</c:v>
                </c:pt>
                <c:pt idx="10">
                  <c:v>1</c:v>
                </c:pt>
              </c:numCache>
            </c:numRef>
          </c:val>
          <c:extLst>
            <c:ext xmlns:c16="http://schemas.microsoft.com/office/drawing/2014/chart" uri="{C3380CC4-5D6E-409C-BE32-E72D297353CC}">
              <c16:uniqueId val="{00000009-4F0A-4158-9F8E-8535C7340D2F}"/>
            </c:ext>
          </c:extLst>
        </c:ser>
        <c:ser>
          <c:idx val="10"/>
          <c:order val="10"/>
          <c:tx>
            <c:strRef>
              <c:f>VolLoc!$AG$25</c:f>
              <c:strCache>
                <c:ptCount val="1"/>
                <c:pt idx="0">
                  <c:v>200</c:v>
                </c:pt>
              </c:strCache>
            </c:strRef>
          </c:tx>
          <c:cat>
            <c:numRef>
              <c:f>VolLoc!$AH$14:$AR$14</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[0]!D11Series</c:f>
              <c:numCache>
                <c:formatCode>General</c:formatCode>
                <c:ptCount val="11"/>
                <c:pt idx="0">
                  <c:v>0.64661989415074572</c:v>
                </c:pt>
                <c:pt idx="1">
                  <c:v>0.66294115920143781</c:v>
                </c:pt>
                <c:pt idx="2">
                  <c:v>0.68043522765404418</c:v>
                </c:pt>
                <c:pt idx="3">
                  <c:v>0.69934229414396043</c:v>
                </c:pt>
                <c:pt idx="4">
                  <c:v>0.71998845332649353</c:v>
                </c:pt>
                <c:pt idx="5">
                  <c:v>0.74283726280117435</c:v>
                </c:pt>
                <c:pt idx="6">
                  <c:v>0.76859332325545893</c:v>
                </c:pt>
                <c:pt idx="7">
                  <c:v>0.79843739251302281</c:v>
                </c:pt>
                <c:pt idx="8">
                  <c:v>0.83467420172532059</c:v>
                </c:pt>
                <c:pt idx="9">
                  <c:v>0.8833237084973149</c:v>
                </c:pt>
                <c:pt idx="10">
                  <c:v>1</c:v>
                </c:pt>
              </c:numCache>
            </c:numRef>
          </c:val>
          <c:extLst>
            <c:ext xmlns:c16="http://schemas.microsoft.com/office/drawing/2014/chart" uri="{C3380CC4-5D6E-409C-BE32-E72D297353CC}">
              <c16:uniqueId val="{0000000A-4F0A-4158-9F8E-8535C7340D2F}"/>
            </c:ext>
          </c:extLst>
        </c:ser>
        <c:bandFmts>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1823514511"/>
        <c:axId val="1823517871"/>
        <c:axId val="1970860319"/>
      </c:surface3DChart>
      <c:catAx>
        <c:axId val="182351451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517871"/>
        <c:crosses val="autoZero"/>
        <c:auto val="1"/>
        <c:lblAlgn val="ctr"/>
        <c:lblOffset val="100"/>
        <c:noMultiLvlLbl val="0"/>
      </c:catAx>
      <c:valAx>
        <c:axId val="18235178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latin typeface="Aptos Narrow" panose="020B0004020202020204" pitchFamily="34" charset="0"/>
                  </a:rPr>
                  <a:t>Δ</a:t>
                </a:r>
                <a:endParaRPr lang="en-GB"/>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514511"/>
        <c:crosses val="autoZero"/>
        <c:crossBetween val="midCat"/>
      </c:valAx>
      <c:serAx>
        <c:axId val="1970860319"/>
        <c:scaling>
          <c:orientation val="minMax"/>
        </c:scaling>
        <c:delete val="0"/>
        <c:axPos val="b"/>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a:t>
                </a:r>
              </a:p>
            </c:rich>
          </c:tx>
          <c:overlay val="0"/>
          <c:spPr>
            <a:noFill/>
            <a:ln>
              <a:noFill/>
            </a:ln>
            <a:effectLst/>
          </c:sp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3517871"/>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Surface</a:t>
            </a:r>
            <a:r>
              <a:rPr lang="en-GB" baseline="0"/>
              <a:t> des prix de l'option</a:t>
            </a:r>
            <a:endParaRPr lang="en-GB"/>
          </a:p>
        </c:rich>
      </c:tx>
      <c:overlay val="0"/>
      <c:spPr>
        <a:noFill/>
        <a:ln>
          <a:noFill/>
        </a:ln>
        <a:effectLst/>
      </c:sp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VolLoc!$V$58</c:f>
              <c:strCache>
                <c:ptCount val="1"/>
                <c:pt idx="0">
                  <c:v>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[0]!VP1Series</c:f>
              <c:numCache>
                <c:formatCode>General</c:formatCode>
                <c:ptCount val="11"/>
                <c:pt idx="0">
                  <c:v>95.122942450071406</c:v>
                </c:pt>
                <c:pt idx="1">
                  <c:v>95.599748183309984</c:v>
                </c:pt>
                <c:pt idx="2">
                  <c:v>96.078943915232315</c:v>
                </c:pt>
                <c:pt idx="3">
                  <c:v>96.560541625756642</c:v>
                </c:pt>
                <c:pt idx="4">
                  <c:v>97.044553354850819</c:v>
                </c:pt>
                <c:pt idx="5">
                  <c:v>97.530991202833263</c:v>
                </c:pt>
                <c:pt idx="6">
                  <c:v>98.019867330675524</c:v>
                </c:pt>
                <c:pt idx="7">
                  <c:v>98.511193960306258</c:v>
                </c:pt>
                <c:pt idx="8">
                  <c:v>99.004983374916804</c:v>
                </c:pt>
                <c:pt idx="9">
                  <c:v>99.501247919268238</c:v>
                </c:pt>
                <c:pt idx="10">
                  <c:v>100</c:v>
                </c:pt>
              </c:numCache>
            </c:numRef>
          </c:val>
          <c:extLst>
            <c:ext xmlns:c16="http://schemas.microsoft.com/office/drawing/2014/chart" uri="{C3380CC4-5D6E-409C-BE32-E72D297353CC}">
              <c16:uniqueId val="{00000000-6671-4F8D-B328-9C9FB13FD32E}"/>
            </c:ext>
          </c:extLst>
        </c:ser>
        <c:ser>
          <c:idx val="1"/>
          <c:order val="1"/>
          <c:tx>
            <c:strRef>
              <c:f>VolLoc!$V$59</c:f>
              <c:strCache>
                <c:ptCount val="1"/>
                <c:pt idx="0">
                  <c:v>20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[0]!VP2Series</c:f>
              <c:numCache>
                <c:formatCode>General</c:formatCode>
                <c:ptCount val="11"/>
                <c:pt idx="0">
                  <c:v>75.122955224840254</c:v>
                </c:pt>
                <c:pt idx="1">
                  <c:v>75.59975041178626</c:v>
                </c:pt>
                <c:pt idx="2">
                  <c:v>76.078944129298876</c:v>
                </c:pt>
                <c:pt idx="3">
                  <c:v>76.560541578348207</c:v>
                </c:pt>
                <c:pt idx="4">
                  <c:v>77.044553295162871</c:v>
                </c:pt>
                <c:pt idx="5">
                  <c:v>77.53099115207678</c:v>
                </c:pt>
                <c:pt idx="6">
                  <c:v>78.019867289839866</c:v>
                </c:pt>
                <c:pt idx="7">
                  <c:v>78.511193929521909</c:v>
                </c:pt>
                <c:pt idx="8">
                  <c:v>79.004983354290658</c:v>
                </c:pt>
                <c:pt idx="9">
                  <c:v>79.501247908903437</c:v>
                </c:pt>
                <c:pt idx="10">
                  <c:v>80</c:v>
                </c:pt>
              </c:numCache>
            </c:numRef>
          </c:val>
          <c:extLst>
            <c:ext xmlns:c16="http://schemas.microsoft.com/office/drawing/2014/chart" uri="{C3380CC4-5D6E-409C-BE32-E72D297353CC}">
              <c16:uniqueId val="{00000001-6671-4F8D-B328-9C9FB13FD32E}"/>
            </c:ext>
          </c:extLst>
        </c:ser>
        <c:ser>
          <c:idx val="2"/>
          <c:order val="2"/>
          <c:tx>
            <c:strRef>
              <c:f>VolLoc!$V$60</c:f>
              <c:strCache>
                <c:ptCount val="1"/>
                <c:pt idx="0">
                  <c:v>40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[0]!VP3Series</c:f>
              <c:numCache>
                <c:formatCode>General</c:formatCode>
                <c:ptCount val="11"/>
                <c:pt idx="0">
                  <c:v>55.13107124321499</c:v>
                </c:pt>
                <c:pt idx="1">
                  <c:v>55.602916374270663</c:v>
                </c:pt>
                <c:pt idx="2">
                  <c:v>56.079971154253343</c:v>
                </c:pt>
                <c:pt idx="3">
                  <c:v>56.56079749270539</c:v>
                </c:pt>
                <c:pt idx="4">
                  <c:v>57.044596459052066</c:v>
                </c:pt>
                <c:pt idx="5">
                  <c:v>57.530995128880143</c:v>
                </c:pt>
                <c:pt idx="6">
                  <c:v>58.019867425637592</c:v>
                </c:pt>
                <c:pt idx="7">
                  <c:v>58.511193930342955</c:v>
                </c:pt>
                <c:pt idx="8">
                  <c:v>59.004983354290864</c:v>
                </c:pt>
                <c:pt idx="9">
                  <c:v>59.501247908903437</c:v>
                </c:pt>
                <c:pt idx="10">
                  <c:v>60</c:v>
                </c:pt>
              </c:numCache>
            </c:numRef>
          </c:val>
          <c:extLst>
            <c:ext xmlns:c16="http://schemas.microsoft.com/office/drawing/2014/chart" uri="{C3380CC4-5D6E-409C-BE32-E72D297353CC}">
              <c16:uniqueId val="{00000002-6671-4F8D-B328-9C9FB13FD32E}"/>
            </c:ext>
          </c:extLst>
        </c:ser>
        <c:ser>
          <c:idx val="3"/>
          <c:order val="3"/>
          <c:tx>
            <c:strRef>
              <c:f>VolLoc!$V$61</c:f>
              <c:strCache>
                <c:ptCount val="1"/>
                <c:pt idx="0">
                  <c:v>60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[0]!VP4Series</c:f>
              <c:numCache>
                <c:formatCode>General</c:formatCode>
                <c:ptCount val="11"/>
                <c:pt idx="0">
                  <c:v>35.477435933983465</c:v>
                </c:pt>
                <c:pt idx="1">
                  <c:v>35.818990981664101</c:v>
                </c:pt>
                <c:pt idx="2">
                  <c:v>36.204266627153487</c:v>
                </c:pt>
                <c:pt idx="3">
                  <c:v>36.624427205148656</c:v>
                </c:pt>
                <c:pt idx="4">
                  <c:v>37.071974857095903</c:v>
                </c:pt>
                <c:pt idx="5">
                  <c:v>37.539961372742198</c:v>
                </c:pt>
                <c:pt idx="6">
                  <c:v>38.021715585850053</c:v>
                </c:pt>
                <c:pt idx="7">
                  <c:v>38.511352465079639</c:v>
                </c:pt>
                <c:pt idx="8">
                  <c:v>39.004985336848428</c:v>
                </c:pt>
                <c:pt idx="9">
                  <c:v>39.501247909105309</c:v>
                </c:pt>
                <c:pt idx="10">
                  <c:v>40</c:v>
                </c:pt>
              </c:numCache>
            </c:numRef>
          </c:val>
          <c:extLst>
            <c:ext xmlns:c16="http://schemas.microsoft.com/office/drawing/2014/chart" uri="{C3380CC4-5D6E-409C-BE32-E72D297353CC}">
              <c16:uniqueId val="{00000003-6671-4F8D-B328-9C9FB13FD32E}"/>
            </c:ext>
          </c:extLst>
        </c:ser>
        <c:ser>
          <c:idx val="4"/>
          <c:order val="4"/>
          <c:tx>
            <c:strRef>
              <c:f>VolLoc!$V$62</c:f>
              <c:strCache>
                <c:ptCount val="1"/>
                <c:pt idx="0">
                  <c:v>80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[0]!VP5Series</c:f>
              <c:numCache>
                <c:formatCode>General</c:formatCode>
                <c:ptCount val="11"/>
                <c:pt idx="0">
                  <c:v>18.588331410668278</c:v>
                </c:pt>
                <c:pt idx="1">
                  <c:v>18.346168135046035</c:v>
                </c:pt>
                <c:pt idx="2">
                  <c:v>18.202487158520732</c:v>
                </c:pt>
                <c:pt idx="3">
                  <c:v>18.144920413642012</c:v>
                </c:pt>
                <c:pt idx="4">
                  <c:v>18.165487713701868</c:v>
                </c:pt>
                <c:pt idx="5">
                  <c:v>18.260642893282512</c:v>
                </c:pt>
                <c:pt idx="6">
                  <c:v>18.432350789806069</c:v>
                </c:pt>
                <c:pt idx="7">
                  <c:v>18.689586568573279</c:v>
                </c:pt>
                <c:pt idx="8">
                  <c:v>19.046545515555408</c:v>
                </c:pt>
                <c:pt idx="9">
                  <c:v>19.502420325538729</c:v>
                </c:pt>
                <c:pt idx="10">
                  <c:v>20</c:v>
                </c:pt>
              </c:numCache>
            </c:numRef>
          </c:val>
          <c:extLst>
            <c:ext xmlns:c16="http://schemas.microsoft.com/office/drawing/2014/chart" uri="{C3380CC4-5D6E-409C-BE32-E72D297353CC}">
              <c16:uniqueId val="{00000004-6671-4F8D-B328-9C9FB13FD32E}"/>
            </c:ext>
          </c:extLst>
        </c:ser>
        <c:ser>
          <c:idx val="5"/>
          <c:order val="5"/>
          <c:tx>
            <c:strRef>
              <c:f>VolLoc!$V$63</c:f>
              <c:strCache>
                <c:ptCount val="1"/>
                <c:pt idx="0">
                  <c:v>100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[0]!VP6Series</c:f>
              <c:numCache>
                <c:formatCode>General</c:formatCode>
                <c:ptCount val="11"/>
                <c:pt idx="0">
                  <c:v>9.4445727171976408</c:v>
                </c:pt>
                <c:pt idx="1">
                  <c:v>8.4063729207847278</c:v>
                </c:pt>
                <c:pt idx="2">
                  <c:v>7.4706340420769797</c:v>
                </c:pt>
                <c:pt idx="3">
                  <c:v>6.6219965278596007</c:v>
                </c:pt>
                <c:pt idx="4">
                  <c:v>5.8480739878896282</c:v>
                </c:pt>
                <c:pt idx="5">
                  <c:v>5.1370769471425941</c:v>
                </c:pt>
                <c:pt idx="6">
                  <c:v>4.4738958948562768</c:v>
                </c:pt>
                <c:pt idx="7">
                  <c:v>3.8317672430490144</c:v>
                </c:pt>
                <c:pt idx="8">
                  <c:v>3.1521841122157781</c:v>
                </c:pt>
                <c:pt idx="9">
                  <c:v>2.2878917577506561</c:v>
                </c:pt>
                <c:pt idx="10">
                  <c:v>0</c:v>
                </c:pt>
              </c:numCache>
            </c:numRef>
          </c:val>
          <c:extLst>
            <c:ext xmlns:c16="http://schemas.microsoft.com/office/drawing/2014/chart" uri="{C3380CC4-5D6E-409C-BE32-E72D297353CC}">
              <c16:uniqueId val="{00000005-6671-4F8D-B328-9C9FB13FD32E}"/>
            </c:ext>
          </c:extLst>
        </c:ser>
        <c:ser>
          <c:idx val="6"/>
          <c:order val="6"/>
          <c:tx>
            <c:strRef>
              <c:f>VolLoc!$V$64</c:f>
              <c:strCache>
                <c:ptCount val="1"/>
                <c:pt idx="0">
                  <c:v>120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[0]!VP7Series</c:f>
              <c:numCache>
                <c:formatCode>General</c:formatCode>
                <c:ptCount val="11"/>
                <c:pt idx="0">
                  <c:v>10.951919841379379</c:v>
                </c:pt>
                <c:pt idx="1">
                  <c:v>9.5355756380868346</c:v>
                </c:pt>
                <c:pt idx="2">
                  <c:v>8.1885170399881915</c:v>
                </c:pt>
                <c:pt idx="3">
                  <c:v>6.8987207800893113</c:v>
                </c:pt>
                <c:pt idx="4">
                  <c:v>5.6576019398766819</c:v>
                </c:pt>
                <c:pt idx="5">
                  <c:v>4.4599589221983544</c:v>
                </c:pt>
                <c:pt idx="6">
                  <c:v>3.305398758361866</c:v>
                </c:pt>
                <c:pt idx="7">
                  <c:v>2.2024720707935019</c:v>
                </c:pt>
                <c:pt idx="8">
                  <c:v>1.1797106629057383</c:v>
                </c:pt>
                <c:pt idx="9">
                  <c:v>0.32457621426690275</c:v>
                </c:pt>
                <c:pt idx="10">
                  <c:v>0</c:v>
                </c:pt>
              </c:numCache>
            </c:numRef>
          </c:val>
          <c:extLst>
            <c:ext xmlns:c16="http://schemas.microsoft.com/office/drawing/2014/chart" uri="{C3380CC4-5D6E-409C-BE32-E72D297353CC}">
              <c16:uniqueId val="{00000006-6671-4F8D-B328-9C9FB13FD32E}"/>
            </c:ext>
          </c:extLst>
        </c:ser>
        <c:ser>
          <c:idx val="7"/>
          <c:order val="7"/>
          <c:tx>
            <c:strRef>
              <c:f>VolLoc!$V$65</c:f>
              <c:strCache>
                <c:ptCount val="1"/>
                <c:pt idx="0">
                  <c:v>140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[0]!VP8Series</c:f>
              <c:numCache>
                <c:formatCode>General</c:formatCode>
                <c:ptCount val="11"/>
                <c:pt idx="0">
                  <c:v>21.383491419931815</c:v>
                </c:pt>
                <c:pt idx="1">
                  <c:v>20.198557268620075</c:v>
                </c:pt>
                <c:pt idx="2">
                  <c:v>19.03472536693814</c:v>
                </c:pt>
                <c:pt idx="3">
                  <c:v>17.884062798829888</c:v>
                </c:pt>
                <c:pt idx="4">
                  <c:v>16.740819033624533</c:v>
                </c:pt>
                <c:pt idx="5">
                  <c:v>15.599538099944938</c:v>
                </c:pt>
                <c:pt idx="6">
                  <c:v>14.453093063938352</c:v>
                </c:pt>
                <c:pt idx="7">
                  <c:v>13.291240412211671</c:v>
                </c:pt>
                <c:pt idx="8">
                  <c:v>12.103618854832916</c:v>
                </c:pt>
                <c:pt idx="9">
                  <c:v>10.909852136704849</c:v>
                </c:pt>
                <c:pt idx="10">
                  <c:v>10</c:v>
                </c:pt>
              </c:numCache>
            </c:numRef>
          </c:val>
          <c:extLst>
            <c:ext xmlns:c16="http://schemas.microsoft.com/office/drawing/2014/chart" uri="{C3380CC4-5D6E-409C-BE32-E72D297353CC}">
              <c16:uniqueId val="{00000007-6671-4F8D-B328-9C9FB13FD32E}"/>
            </c:ext>
          </c:extLst>
        </c:ser>
        <c:ser>
          <c:idx val="8"/>
          <c:order val="8"/>
          <c:tx>
            <c:strRef>
              <c:f>VolLoc!$V$66</c:f>
              <c:strCache>
                <c:ptCount val="1"/>
                <c:pt idx="0">
                  <c:v>160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[0]!VP9Series</c:f>
              <c:numCache>
                <c:formatCode>General</c:formatCode>
                <c:ptCount val="11"/>
                <c:pt idx="0">
                  <c:v>36.488640347620894</c:v>
                </c:pt>
                <c:pt idx="1">
                  <c:v>35.904187425922004</c:v>
                </c:pt>
                <c:pt idx="2">
                  <c:v>35.303552269004825</c:v>
                </c:pt>
                <c:pt idx="3">
                  <c:v>34.679780913497233</c:v>
                </c:pt>
                <c:pt idx="4">
                  <c:v>34.030201818577808</c:v>
                </c:pt>
                <c:pt idx="5">
                  <c:v>33.356869227964005</c:v>
                </c:pt>
                <c:pt idx="6">
                  <c:v>32.667582693286825</c:v>
                </c:pt>
                <c:pt idx="7">
                  <c:v>31.976589503880543</c:v>
                </c:pt>
                <c:pt idx="8">
                  <c:v>31.301548595279513</c:v>
                </c:pt>
                <c:pt idx="9">
                  <c:v>30.648483012850498</c:v>
                </c:pt>
                <c:pt idx="10">
                  <c:v>30</c:v>
                </c:pt>
              </c:numCache>
            </c:numRef>
          </c:val>
          <c:extLst>
            <c:ext xmlns:c16="http://schemas.microsoft.com/office/drawing/2014/chart" uri="{C3380CC4-5D6E-409C-BE32-E72D297353CC}">
              <c16:uniqueId val="{00000008-6671-4F8D-B328-9C9FB13FD32E}"/>
            </c:ext>
          </c:extLst>
        </c:ser>
        <c:ser>
          <c:idx val="9"/>
          <c:order val="9"/>
          <c:tx>
            <c:strRef>
              <c:f>VolLoc!$V$67</c:f>
              <c:strCache>
                <c:ptCount val="1"/>
                <c:pt idx="0">
                  <c:v>180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[0]!VP10Series</c:f>
              <c:numCache>
                <c:formatCode>General</c:formatCode>
                <c:ptCount val="11"/>
                <c:pt idx="0">
                  <c:v>52.307351949009103</c:v>
                </c:pt>
                <c:pt idx="1">
                  <c:v>52.322617529919327</c:v>
                </c:pt>
                <c:pt idx="2">
                  <c:v>52.317556250057173</c:v>
                </c:pt>
                <c:pt idx="3">
                  <c:v>52.282132478553279</c:v>
                </c:pt>
                <c:pt idx="4">
                  <c:v>52.2056545173579</c:v>
                </c:pt>
                <c:pt idx="5">
                  <c:v>52.075451643209213</c:v>
                </c:pt>
                <c:pt idx="6">
                  <c:v>51.875504279570315</c:v>
                </c:pt>
                <c:pt idx="7">
                  <c:v>51.585264965862685</c:v>
                </c:pt>
                <c:pt idx="8">
                  <c:v>51.179987627221884</c:v>
                </c:pt>
                <c:pt idx="9">
                  <c:v>50.639146544364792</c:v>
                </c:pt>
                <c:pt idx="10">
                  <c:v>50</c:v>
                </c:pt>
              </c:numCache>
            </c:numRef>
          </c:val>
          <c:extLst>
            <c:ext xmlns:c16="http://schemas.microsoft.com/office/drawing/2014/chart" uri="{C3380CC4-5D6E-409C-BE32-E72D297353CC}">
              <c16:uniqueId val="{00000009-6671-4F8D-B328-9C9FB13FD32E}"/>
            </c:ext>
          </c:extLst>
        </c:ser>
        <c:ser>
          <c:idx val="10"/>
          <c:order val="10"/>
          <c:tx>
            <c:strRef>
              <c:f>VolLoc!$V$68</c:f>
              <c:strCache>
                <c:ptCount val="1"/>
                <c:pt idx="0">
                  <c:v>200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[0]!VP11Series</c:f>
              <c:numCache>
                <c:formatCode>General</c:formatCode>
                <c:ptCount val="11"/>
                <c:pt idx="0">
                  <c:v>66.586059715049984</c:v>
                </c:pt>
                <c:pt idx="1">
                  <c:v>66.919823728316985</c:v>
                </c:pt>
                <c:pt idx="2">
                  <c:v>67.255260740662621</c:v>
                </c:pt>
                <c:pt idx="3">
                  <c:v>67.592379138029656</c:v>
                </c:pt>
                <c:pt idx="4">
                  <c:v>67.931187348395568</c:v>
                </c:pt>
                <c:pt idx="5">
                  <c:v>68.271693841983279</c:v>
                </c:pt>
                <c:pt idx="6">
                  <c:v>68.613907131472871</c:v>
                </c:pt>
                <c:pt idx="7">
                  <c:v>68.957835772214381</c:v>
                </c:pt>
                <c:pt idx="8">
                  <c:v>69.303488362441769</c:v>
                </c:pt>
                <c:pt idx="9">
                  <c:v>69.650873543487762</c:v>
                </c:pt>
                <c:pt idx="10">
                  <c:v>70</c:v>
                </c:pt>
              </c:numCache>
            </c:numRef>
          </c:val>
          <c:extLst>
            <c:ext xmlns:c16="http://schemas.microsoft.com/office/drawing/2014/chart" uri="{C3380CC4-5D6E-409C-BE32-E72D297353CC}">
              <c16:uniqueId val="{0000000A-6671-4F8D-B328-9C9FB13FD32E}"/>
            </c:ext>
          </c:extLst>
        </c:ser>
        <c:bandFmts>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1722324671"/>
        <c:axId val="1722324191"/>
        <c:axId val="1733619711"/>
      </c:surface3DChart>
      <c:catAx>
        <c:axId val="17223246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324191"/>
        <c:crosses val="autoZero"/>
        <c:auto val="1"/>
        <c:lblAlgn val="ctr"/>
        <c:lblOffset val="100"/>
        <c:noMultiLvlLbl val="0"/>
      </c:catAx>
      <c:valAx>
        <c:axId val="172232419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V</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324671"/>
        <c:crosses val="autoZero"/>
        <c:crossBetween val="midCat"/>
      </c:valAx>
      <c:serAx>
        <c:axId val="1733619711"/>
        <c:scaling>
          <c:orientation val="minMax"/>
        </c:scaling>
        <c:delete val="0"/>
        <c:axPos val="b"/>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a:t>
                </a:r>
              </a:p>
            </c:rich>
          </c:tx>
          <c:overlay val="0"/>
          <c:spPr>
            <a:noFill/>
            <a:ln>
              <a:noFill/>
            </a:ln>
            <a:effectLst/>
          </c:sp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2324191"/>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Surface</a:t>
            </a:r>
            <a:r>
              <a:rPr lang="en-GB" baseline="0"/>
              <a:t> des </a:t>
            </a:r>
            <a:r>
              <a:rPr lang="el-GR" baseline="0">
                <a:latin typeface="Aptos Narrow" panose="020B0004020202020204" pitchFamily="34" charset="0"/>
              </a:rPr>
              <a:t>Δ</a:t>
            </a:r>
            <a:r>
              <a:rPr lang="en-GB" baseline="0">
                <a:latin typeface="Aptos Narrow" panose="020B0004020202020204" pitchFamily="34" charset="0"/>
              </a:rPr>
              <a:t> de l'option</a:t>
            </a:r>
            <a:endParaRPr lang="en-GB"/>
          </a:p>
        </c:rich>
      </c:tx>
      <c:overlay val="0"/>
      <c:spPr>
        <a:noFill/>
        <a:ln>
          <a:noFill/>
        </a:ln>
        <a:effectLst/>
      </c:sp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VolLoc!$V$58</c:f>
              <c:strCache>
                <c:ptCount val="1"/>
                <c:pt idx="0">
                  <c:v>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[0]!VD1Series</c:f>
              <c:numCache>
                <c:formatCode>General</c:formatCode>
                <c:ptCount val="11"/>
                <c:pt idx="0">
                  <c:v>-1</c:v>
                </c:pt>
                <c:pt idx="1">
                  <c:v>-1</c:v>
                </c:pt>
                <c:pt idx="2">
                  <c:v>-1</c:v>
                </c:pt>
                <c:pt idx="3">
                  <c:v>-1</c:v>
                </c:pt>
                <c:pt idx="4">
                  <c:v>-1</c:v>
                </c:pt>
                <c:pt idx="5">
                  <c:v>-1</c:v>
                </c:pt>
                <c:pt idx="6">
                  <c:v>-1</c:v>
                </c:pt>
                <c:pt idx="7">
                  <c:v>-1</c:v>
                </c:pt>
                <c:pt idx="8">
                  <c:v>-1</c:v>
                </c:pt>
                <c:pt idx="9">
                  <c:v>-1</c:v>
                </c:pt>
                <c:pt idx="10">
                  <c:v>-1</c:v>
                </c:pt>
              </c:numCache>
            </c:numRef>
          </c:val>
          <c:extLst>
            <c:ext xmlns:c16="http://schemas.microsoft.com/office/drawing/2014/chart" uri="{C3380CC4-5D6E-409C-BE32-E72D297353CC}">
              <c16:uniqueId val="{00000000-9062-4B6A-A300-9698549C1074}"/>
            </c:ext>
          </c:extLst>
        </c:ser>
        <c:ser>
          <c:idx val="1"/>
          <c:order val="1"/>
          <c:tx>
            <c:strRef>
              <c:f>VolLoc!$V$59</c:f>
              <c:strCache>
                <c:ptCount val="1"/>
                <c:pt idx="0">
                  <c:v>20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[0]!VD2Series</c:f>
              <c:numCache>
                <c:formatCode>General</c:formatCode>
                <c:ptCount val="11"/>
                <c:pt idx="0">
                  <c:v>-0.99999442915193981</c:v>
                </c:pt>
                <c:pt idx="1">
                  <c:v>-0.99999887600220916</c:v>
                </c:pt>
                <c:pt idx="2">
                  <c:v>-0.99999983866637621</c:v>
                </c:pt>
                <c:pt idx="3">
                  <c:v>-0.99999998568396364</c:v>
                </c:pt>
                <c:pt idx="4">
                  <c:v>-0.99999999938960116</c:v>
                </c:pt>
                <c:pt idx="5">
                  <c:v>-1</c:v>
                </c:pt>
                <c:pt idx="6">
                  <c:v>-1</c:v>
                </c:pt>
                <c:pt idx="7">
                  <c:v>-1</c:v>
                </c:pt>
                <c:pt idx="8">
                  <c:v>-1</c:v>
                </c:pt>
                <c:pt idx="9">
                  <c:v>-1</c:v>
                </c:pt>
                <c:pt idx="10">
                  <c:v>-1</c:v>
                </c:pt>
              </c:numCache>
            </c:numRef>
          </c:val>
          <c:extLst>
            <c:ext xmlns:c16="http://schemas.microsoft.com/office/drawing/2014/chart" uri="{C3380CC4-5D6E-409C-BE32-E72D297353CC}">
              <c16:uniqueId val="{00000001-9062-4B6A-A300-9698549C1074}"/>
            </c:ext>
          </c:extLst>
        </c:ser>
        <c:ser>
          <c:idx val="2"/>
          <c:order val="2"/>
          <c:tx>
            <c:strRef>
              <c:f>VolLoc!$V$60</c:f>
              <c:strCache>
                <c:ptCount val="1"/>
                <c:pt idx="0">
                  <c:v>40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[0]!VD3Series</c:f>
              <c:numCache>
                <c:formatCode>General</c:formatCode>
                <c:ptCount val="11"/>
                <c:pt idx="0">
                  <c:v>-0.99801776935615649</c:v>
                </c:pt>
                <c:pt idx="1">
                  <c:v>-0.99912976332636561</c:v>
                </c:pt>
                <c:pt idx="2">
                  <c:v>-0.99967873070984226</c:v>
                </c:pt>
                <c:pt idx="3">
                  <c:v>-0.99990758226482512</c:v>
                </c:pt>
                <c:pt idx="4">
                  <c:v>-0.99998166617735862</c:v>
                </c:pt>
                <c:pt idx="5">
                  <c:v>-0.99999796379414008</c:v>
                </c:pt>
                <c:pt idx="6">
                  <c:v>-0.99999991346148676</c:v>
                </c:pt>
                <c:pt idx="7">
                  <c:v>-0.99999999932407491</c:v>
                </c:pt>
                <c:pt idx="8">
                  <c:v>-0.99999999999975842</c:v>
                </c:pt>
                <c:pt idx="9">
                  <c:v>-1</c:v>
                </c:pt>
                <c:pt idx="10">
                  <c:v>-1</c:v>
                </c:pt>
              </c:numCache>
            </c:numRef>
          </c:val>
          <c:extLst>
            <c:ext xmlns:c16="http://schemas.microsoft.com/office/drawing/2014/chart" uri="{C3380CC4-5D6E-409C-BE32-E72D297353CC}">
              <c16:uniqueId val="{00000002-9062-4B6A-A300-9698549C1074}"/>
            </c:ext>
          </c:extLst>
        </c:ser>
        <c:ser>
          <c:idx val="3"/>
          <c:order val="3"/>
          <c:tx>
            <c:strRef>
              <c:f>VolLoc!$V$61</c:f>
              <c:strCache>
                <c:ptCount val="1"/>
                <c:pt idx="0">
                  <c:v>60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[0]!VD4Series</c:f>
              <c:numCache>
                <c:formatCode>General</c:formatCode>
                <c:ptCount val="11"/>
                <c:pt idx="0">
                  <c:v>-0.94867921932968713</c:v>
                </c:pt>
                <c:pt idx="1">
                  <c:v>-0.96451279709568993</c:v>
                </c:pt>
                <c:pt idx="2">
                  <c:v>-0.97707793535889564</c:v>
                </c:pt>
                <c:pt idx="3">
                  <c:v>-0.98660552004612256</c:v>
                </c:pt>
                <c:pt idx="4">
                  <c:v>-0.99328131258698704</c:v>
                </c:pt>
                <c:pt idx="5">
                  <c:v>-0.99736255642432425</c:v>
                </c:pt>
                <c:pt idx="6">
                  <c:v>-0.99932255797587999</c:v>
                </c:pt>
                <c:pt idx="7">
                  <c:v>-0.99992330049917655</c:v>
                </c:pt>
                <c:pt idx="8">
                  <c:v>-0.99999862566558662</c:v>
                </c:pt>
                <c:pt idx="9">
                  <c:v>-0.99999999978730258</c:v>
                </c:pt>
                <c:pt idx="10">
                  <c:v>-1</c:v>
                </c:pt>
              </c:numCache>
            </c:numRef>
          </c:val>
          <c:extLst>
            <c:ext xmlns:c16="http://schemas.microsoft.com/office/drawing/2014/chart" uri="{C3380CC4-5D6E-409C-BE32-E72D297353CC}">
              <c16:uniqueId val="{00000003-9062-4B6A-A300-9698549C1074}"/>
            </c:ext>
          </c:extLst>
        </c:ser>
        <c:ser>
          <c:idx val="4"/>
          <c:order val="4"/>
          <c:tx>
            <c:strRef>
              <c:f>VolLoc!$V$62</c:f>
              <c:strCache>
                <c:ptCount val="1"/>
                <c:pt idx="0">
                  <c:v>80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[0]!VD5Series</c:f>
              <c:numCache>
                <c:formatCode>General</c:formatCode>
                <c:ptCount val="11"/>
                <c:pt idx="0">
                  <c:v>-0.69291914307462577</c:v>
                </c:pt>
                <c:pt idx="1">
                  <c:v>-0.73306413030565132</c:v>
                </c:pt>
                <c:pt idx="2">
                  <c:v>-0.7718134025668526</c:v>
                </c:pt>
                <c:pt idx="3">
                  <c:v>-0.80954508546209425</c:v>
                </c:pt>
                <c:pt idx="4">
                  <c:v>-0.84667389008673233</c:v>
                </c:pt>
                <c:pt idx="5">
                  <c:v>-0.88359593115156798</c:v>
                </c:pt>
                <c:pt idx="6">
                  <c:v>-0.92038250142574363</c:v>
                </c:pt>
                <c:pt idx="7">
                  <c:v>-0.95583455108088522</c:v>
                </c:pt>
                <c:pt idx="8">
                  <c:v>-0.98531528755998821</c:v>
                </c:pt>
                <c:pt idx="9">
                  <c:v>-0.99925219179394453</c:v>
                </c:pt>
                <c:pt idx="10">
                  <c:v>-1</c:v>
                </c:pt>
              </c:numCache>
            </c:numRef>
          </c:val>
          <c:extLst>
            <c:ext xmlns:c16="http://schemas.microsoft.com/office/drawing/2014/chart" uri="{C3380CC4-5D6E-409C-BE32-E72D297353CC}">
              <c16:uniqueId val="{00000004-9062-4B6A-A300-9698549C1074}"/>
            </c:ext>
          </c:extLst>
        </c:ser>
        <c:ser>
          <c:idx val="5"/>
          <c:order val="5"/>
          <c:tx>
            <c:strRef>
              <c:f>VolLoc!$V$63</c:f>
              <c:strCache>
                <c:ptCount val="1"/>
                <c:pt idx="0">
                  <c:v>100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[0]!VD6Series</c:f>
              <c:numCache>
                <c:formatCode>General</c:formatCode>
                <c:ptCount val="11"/>
                <c:pt idx="0">
                  <c:v>-0.19487894315725107</c:v>
                </c:pt>
                <c:pt idx="1">
                  <c:v>-0.22818817867134733</c:v>
                </c:pt>
                <c:pt idx="2">
                  <c:v>-0.26226384798564872</c:v>
                </c:pt>
                <c:pt idx="3">
                  <c:v>-0.29685537490660074</c:v>
                </c:pt>
                <c:pt idx="4">
                  <c:v>-0.33150403791246719</c:v>
                </c:pt>
                <c:pt idx="5">
                  <c:v>-0.3653711951652836</c:v>
                </c:pt>
                <c:pt idx="6">
                  <c:v>-0.39701566096616858</c:v>
                </c:pt>
                <c:pt idx="7">
                  <c:v>-0.42428277148221438</c:v>
                </c:pt>
                <c:pt idx="8">
                  <c:v>-0.44518403811994167</c:v>
                </c:pt>
                <c:pt idx="9">
                  <c:v>-0.46233393399994471</c:v>
                </c:pt>
                <c:pt idx="10">
                  <c:v>-0.5</c:v>
                </c:pt>
              </c:numCache>
            </c:numRef>
          </c:val>
          <c:extLst>
            <c:ext xmlns:c16="http://schemas.microsoft.com/office/drawing/2014/chart" uri="{C3380CC4-5D6E-409C-BE32-E72D297353CC}">
              <c16:uniqueId val="{00000005-9062-4B6A-A300-9698549C1074}"/>
            </c:ext>
          </c:extLst>
        </c:ser>
        <c:ser>
          <c:idx val="6"/>
          <c:order val="6"/>
          <c:tx>
            <c:strRef>
              <c:f>VolLoc!$V$64</c:f>
              <c:strCache>
                <c:ptCount val="1"/>
                <c:pt idx="0">
                  <c:v>120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[0]!VD7Series</c:f>
              <c:numCache>
                <c:formatCode>General</c:formatCode>
                <c:ptCount val="11"/>
                <c:pt idx="0">
                  <c:v>0.32872744510431406</c:v>
                </c:pt>
                <c:pt idx="1">
                  <c:v>0.32571502073490155</c:v>
                </c:pt>
                <c:pt idx="2">
                  <c:v>0.32035232150051129</c:v>
                </c:pt>
                <c:pt idx="3">
                  <c:v>0.31265865449825769</c:v>
                </c:pt>
                <c:pt idx="4">
                  <c:v>0.30235436366900359</c:v>
                </c:pt>
                <c:pt idx="5">
                  <c:v>0.28860228047893566</c:v>
                </c:pt>
                <c:pt idx="6">
                  <c:v>0.26946764947496726</c:v>
                </c:pt>
                <c:pt idx="7">
                  <c:v>0.24061484937573885</c:v>
                </c:pt>
                <c:pt idx="8">
                  <c:v>0.19173569334842555</c:v>
                </c:pt>
                <c:pt idx="9">
                  <c:v>9.8027242698195224E-2</c:v>
                </c:pt>
                <c:pt idx="10">
                  <c:v>0</c:v>
                </c:pt>
              </c:numCache>
            </c:numRef>
          </c:val>
          <c:extLst>
            <c:ext xmlns:c16="http://schemas.microsoft.com/office/drawing/2014/chart" uri="{C3380CC4-5D6E-409C-BE32-E72D297353CC}">
              <c16:uniqueId val="{00000006-9062-4B6A-A300-9698549C1074}"/>
            </c:ext>
          </c:extLst>
        </c:ser>
        <c:ser>
          <c:idx val="7"/>
          <c:order val="7"/>
          <c:tx>
            <c:strRef>
              <c:f>VolLoc!$V$65</c:f>
              <c:strCache>
                <c:ptCount val="1"/>
                <c:pt idx="0">
                  <c:v>140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[0]!VD8Series</c:f>
              <c:numCache>
                <c:formatCode>General</c:formatCode>
                <c:ptCount val="11"/>
                <c:pt idx="0">
                  <c:v>0.67626829782173914</c:v>
                </c:pt>
                <c:pt idx="1">
                  <c:v>0.70010163410860748</c:v>
                </c:pt>
                <c:pt idx="2">
                  <c:v>0.72166098328349371</c:v>
                </c:pt>
                <c:pt idx="3">
                  <c:v>0.74128580325138849</c:v>
                </c:pt>
                <c:pt idx="4">
                  <c:v>0.75956929033264142</c:v>
                </c:pt>
                <c:pt idx="5">
                  <c:v>0.77755725955295674</c:v>
                </c:pt>
                <c:pt idx="6">
                  <c:v>0.79711883618244883</c:v>
                </c:pt>
                <c:pt idx="7">
                  <c:v>0.82174945079741946</c:v>
                </c:pt>
                <c:pt idx="8">
                  <c:v>0.85862585359416599</c:v>
                </c:pt>
                <c:pt idx="9">
                  <c:v>0.92440415295684009</c:v>
                </c:pt>
                <c:pt idx="10">
                  <c:v>1</c:v>
                </c:pt>
              </c:numCache>
            </c:numRef>
          </c:val>
          <c:extLst>
            <c:ext xmlns:c16="http://schemas.microsoft.com/office/drawing/2014/chart" uri="{C3380CC4-5D6E-409C-BE32-E72D297353CC}">
              <c16:uniqueId val="{00000007-9062-4B6A-A300-9698549C1074}"/>
            </c:ext>
          </c:extLst>
        </c:ser>
        <c:ser>
          <c:idx val="9"/>
          <c:order val="8"/>
          <c:tx>
            <c:strRef>
              <c:f>VolLoc!$V$66</c:f>
              <c:strCache>
                <c:ptCount val="1"/>
                <c:pt idx="0">
                  <c:v>160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[0]!VD9Series</c:f>
              <c:numCache>
                <c:formatCode>General</c:formatCode>
                <c:ptCount val="11"/>
                <c:pt idx="0">
                  <c:v>0.79994497944196752</c:v>
                </c:pt>
                <c:pt idx="1">
                  <c:v>0.83289764287086854</c:v>
                </c:pt>
                <c:pt idx="2">
                  <c:v>0.86462207289944359</c:v>
                </c:pt>
                <c:pt idx="3">
                  <c:v>0.89484814478075592</c:v>
                </c:pt>
                <c:pt idx="4">
                  <c:v>0.92312005091097049</c:v>
                </c:pt>
                <c:pt idx="5">
                  <c:v>0.94873893825188915</c:v>
                </c:pt>
                <c:pt idx="6">
                  <c:v>0.97066648658916144</c:v>
                </c:pt>
                <c:pt idx="7">
                  <c:v>0.9874226535556474</c:v>
                </c:pt>
                <c:pt idx="8">
                  <c:v>0.99726078679141317</c:v>
                </c:pt>
                <c:pt idx="9">
                  <c:v>0.9999464610200608</c:v>
                </c:pt>
                <c:pt idx="10">
                  <c:v>1</c:v>
                </c:pt>
              </c:numCache>
            </c:numRef>
          </c:val>
          <c:extLst>
            <c:ext xmlns:c16="http://schemas.microsoft.com/office/drawing/2014/chart" uri="{C3380CC4-5D6E-409C-BE32-E72D297353CC}">
              <c16:uniqueId val="{00000009-9062-4B6A-A300-9698549C1074}"/>
            </c:ext>
          </c:extLst>
        </c:ser>
        <c:ser>
          <c:idx val="10"/>
          <c:order val="9"/>
          <c:tx>
            <c:strRef>
              <c:f>VolLoc!$V$67</c:f>
              <c:strCache>
                <c:ptCount val="1"/>
                <c:pt idx="0">
                  <c:v>180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[0]!VD10Series</c:f>
              <c:numCache>
                <c:formatCode>General</c:formatCode>
                <c:ptCount val="11"/>
                <c:pt idx="0">
                  <c:v>0.76308240013335293</c:v>
                </c:pt>
                <c:pt idx="1">
                  <c:v>0.78764450885356752</c:v>
                </c:pt>
                <c:pt idx="2">
                  <c:v>0.81298201189060393</c:v>
                </c:pt>
                <c:pt idx="3">
                  <c:v>0.83927866730930489</c:v>
                </c:pt>
                <c:pt idx="4">
                  <c:v>0.86658651522774122</c:v>
                </c:pt>
                <c:pt idx="5">
                  <c:v>0.89479982268263214</c:v>
                </c:pt>
                <c:pt idx="6">
                  <c:v>0.92358974427129326</c:v>
                </c:pt>
                <c:pt idx="7">
                  <c:v>0.9521942375801693</c:v>
                </c:pt>
                <c:pt idx="8">
                  <c:v>0.978607008771327</c:v>
                </c:pt>
                <c:pt idx="9">
                  <c:v>0.99696767910613815</c:v>
                </c:pt>
                <c:pt idx="10">
                  <c:v>1</c:v>
                </c:pt>
              </c:numCache>
            </c:numRef>
          </c:val>
          <c:extLst>
            <c:ext xmlns:c16="http://schemas.microsoft.com/office/drawing/2014/chart" uri="{C3380CC4-5D6E-409C-BE32-E72D297353CC}">
              <c16:uniqueId val="{0000000A-9062-4B6A-A300-9698549C1074}"/>
            </c:ext>
          </c:extLst>
        </c:ser>
        <c:ser>
          <c:idx val="11"/>
          <c:order val="10"/>
          <c:tx>
            <c:strRef>
              <c:f>VolLoc!$V$68</c:f>
              <c:strCache>
                <c:ptCount val="1"/>
                <c:pt idx="0">
                  <c:v>200</c:v>
                </c:pt>
              </c:strCache>
            </c:strRef>
          </c:tx>
          <c:cat>
            <c:numRef>
              <c:f>VolLoc!$W$57:$AG$57</c:f>
              <c:numCache>
                <c:formatCode>General</c:formatCode>
                <c:ptCount val="11"/>
                <c:pt idx="0">
                  <c:v>0</c:v>
                </c:pt>
                <c:pt idx="1">
                  <c:v>0.1</c:v>
                </c:pt>
                <c:pt idx="2">
                  <c:v>0.2</c:v>
                </c:pt>
                <c:pt idx="3">
                  <c:v>0.3</c:v>
                </c:pt>
                <c:pt idx="4">
                  <c:v>0.4</c:v>
                </c:pt>
                <c:pt idx="5">
                  <c:v>0.5</c:v>
                </c:pt>
                <c:pt idx="6">
                  <c:v>0.6</c:v>
                </c:pt>
                <c:pt idx="7">
                  <c:v>0.7</c:v>
                </c:pt>
                <c:pt idx="8">
                  <c:v>0.8</c:v>
                </c:pt>
                <c:pt idx="9">
                  <c:v>0.9</c:v>
                </c:pt>
                <c:pt idx="10">
                  <c:v>1</c:v>
                </c:pt>
              </c:numCache>
            </c:numRef>
          </c:cat>
          <c:val>
            <c:numRef>
              <c:f>[0]!VD11Series</c:f>
              <c:numCache>
                <c:formatCode>General</c:formatCode>
                <c:ptCount val="11"/>
                <c:pt idx="0">
                  <c:v>0.66398676679050084</c:v>
                </c:pt>
                <c:pt idx="1">
                  <c:v>0.67114023242115195</c:v>
                </c:pt>
                <c:pt idx="2">
                  <c:v>0.67927958231250329</c:v>
                </c:pt>
                <c:pt idx="3">
                  <c:v>0.68904121728607493</c:v>
                </c:pt>
                <c:pt idx="4">
                  <c:v>0.70115909063120796</c:v>
                </c:pt>
                <c:pt idx="5">
                  <c:v>0.71657144709320164</c:v>
                </c:pt>
                <c:pt idx="6">
                  <c:v>0.73656102200644114</c:v>
                </c:pt>
                <c:pt idx="7">
                  <c:v>0.76302960523500474</c:v>
                </c:pt>
                <c:pt idx="8">
                  <c:v>0.79933200692620687</c:v>
                </c:pt>
                <c:pt idx="9">
                  <c:v>0.85379239989553923</c:v>
                </c:pt>
                <c:pt idx="10">
                  <c:v>1</c:v>
                </c:pt>
              </c:numCache>
            </c:numRef>
          </c:val>
          <c:extLst>
            <c:ext xmlns:c16="http://schemas.microsoft.com/office/drawing/2014/chart" uri="{C3380CC4-5D6E-409C-BE32-E72D297353CC}">
              <c16:uniqueId val="{0000000F-B307-480F-8712-9E6DE7EF4A47}"/>
            </c:ext>
          </c:extLst>
        </c:ser>
        <c:bandFmts>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1164882527"/>
        <c:axId val="1164889727"/>
        <c:axId val="1045250351"/>
      </c:surface3DChart>
      <c:catAx>
        <c:axId val="116488252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t</a:t>
                </a:r>
              </a:p>
            </c:rich>
          </c:tx>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889727"/>
        <c:crosses val="autoZero"/>
        <c:auto val="1"/>
        <c:lblAlgn val="ctr"/>
        <c:lblOffset val="100"/>
        <c:noMultiLvlLbl val="0"/>
      </c:catAx>
      <c:valAx>
        <c:axId val="116488972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latin typeface="Aptos Narrow" panose="020B0004020202020204" pitchFamily="34" charset="0"/>
                  </a:rPr>
                  <a:t>Δ</a:t>
                </a:r>
                <a:endParaRPr lang="en-GB"/>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882527"/>
        <c:crosses val="autoZero"/>
        <c:crossBetween val="midCat"/>
      </c:valAx>
      <c:serAx>
        <c:axId val="1045250351"/>
        <c:scaling>
          <c:orientation val="minMax"/>
        </c:scaling>
        <c:delete val="0"/>
        <c:axPos val="b"/>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a:t>
                </a:r>
              </a:p>
            </c:rich>
          </c:tx>
          <c:overlay val="0"/>
          <c:spPr>
            <a:noFill/>
            <a:ln>
              <a:noFill/>
            </a:ln>
            <a:effectLst/>
          </c:sp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889727"/>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1.jpeg"/><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0</xdr:col>
      <xdr:colOff>571419</xdr:colOff>
      <xdr:row>23</xdr:row>
      <xdr:rowOff>256707</xdr:rowOff>
    </xdr:from>
    <xdr:to>
      <xdr:col>11</xdr:col>
      <xdr:colOff>9337</xdr:colOff>
      <xdr:row>42</xdr:row>
      <xdr:rowOff>251604</xdr:rowOff>
    </xdr:to>
    <xdr:graphicFrame macro="">
      <xdr:nvGraphicFramePr>
        <xdr:cNvPr id="3" name="Chart 2">
          <a:extLst>
            <a:ext uri="{FF2B5EF4-FFF2-40B4-BE49-F238E27FC236}">
              <a16:creationId xmlns:a16="http://schemas.microsoft.com/office/drawing/2014/main" id="{0D3B7BAA-037C-B1F7-E2A5-28DCAE5E83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3189</xdr:colOff>
      <xdr:row>24</xdr:row>
      <xdr:rowOff>2561</xdr:rowOff>
    </xdr:from>
    <xdr:to>
      <xdr:col>23</xdr:col>
      <xdr:colOff>673936</xdr:colOff>
      <xdr:row>42</xdr:row>
      <xdr:rowOff>251604</xdr:rowOff>
    </xdr:to>
    <xdr:graphicFrame macro="">
      <xdr:nvGraphicFramePr>
        <xdr:cNvPr id="2" name="Chart 1">
          <a:extLst>
            <a:ext uri="{FF2B5EF4-FFF2-40B4-BE49-F238E27FC236}">
              <a16:creationId xmlns:a16="http://schemas.microsoft.com/office/drawing/2014/main" id="{C8238D0B-285F-3035-74C9-85C5915252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181429</xdr:colOff>
      <xdr:row>2</xdr:row>
      <xdr:rowOff>69480</xdr:rowOff>
    </xdr:from>
    <xdr:to>
      <xdr:col>7</xdr:col>
      <xdr:colOff>124508</xdr:colOff>
      <xdr:row>8</xdr:row>
      <xdr:rowOff>202549</xdr:rowOff>
    </xdr:to>
    <xdr:sp macro="[0]!ArbresEuCall" textlink="">
      <xdr:nvSpPr>
        <xdr:cNvPr id="5" name="Oval 4" descr="&#10;">
          <a:extLst>
            <a:ext uri="{FF2B5EF4-FFF2-40B4-BE49-F238E27FC236}">
              <a16:creationId xmlns:a16="http://schemas.microsoft.com/office/drawing/2014/main" id="{4009983E-3370-F8BA-B9A8-299AE7F090EB}"/>
            </a:ext>
          </a:extLst>
        </xdr:cNvPr>
        <xdr:cNvSpPr/>
      </xdr:nvSpPr>
      <xdr:spPr>
        <a:xfrm>
          <a:off x="4082143" y="923707"/>
          <a:ext cx="1984151" cy="1675212"/>
        </a:xfrm>
        <a:prstGeom prst="ellipse">
          <a:avLst/>
        </a:prstGeom>
        <a:solidFill>
          <a:schemeClr val="tx2">
            <a:lumMod val="75000"/>
            <a:lumOff val="25000"/>
          </a:schemeClr>
        </a:solidFill>
        <a:ln>
          <a:solidFill>
            <a:schemeClr val="tx2">
              <a:lumMod val="75000"/>
              <a:lumOff val="25000"/>
            </a:schemeClr>
          </a:solidFill>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800"/>
            <a:t>CALL</a:t>
          </a:r>
        </a:p>
      </xdr:txBody>
    </xdr:sp>
    <xdr:clientData/>
  </xdr:twoCellAnchor>
  <xdr:twoCellAnchor>
    <xdr:from>
      <xdr:col>8</xdr:col>
      <xdr:colOff>151191</xdr:colOff>
      <xdr:row>2</xdr:row>
      <xdr:rowOff>68925</xdr:rowOff>
    </xdr:from>
    <xdr:to>
      <xdr:col>11</xdr:col>
      <xdr:colOff>106058</xdr:colOff>
      <xdr:row>8</xdr:row>
      <xdr:rowOff>201994</xdr:rowOff>
    </xdr:to>
    <xdr:sp macro="[0]!ArbresEuPut" textlink="">
      <xdr:nvSpPr>
        <xdr:cNvPr id="13" name="Oval 12" descr="&#10;">
          <a:extLst>
            <a:ext uri="{FF2B5EF4-FFF2-40B4-BE49-F238E27FC236}">
              <a16:creationId xmlns:a16="http://schemas.microsoft.com/office/drawing/2014/main" id="{9C6AC43F-EF30-4C4C-A1D1-28ED5FA4C281}"/>
            </a:ext>
          </a:extLst>
        </xdr:cNvPr>
        <xdr:cNvSpPr/>
      </xdr:nvSpPr>
      <xdr:spPr>
        <a:xfrm>
          <a:off x="6773334" y="923152"/>
          <a:ext cx="1995938" cy="1675212"/>
        </a:xfrm>
        <a:prstGeom prst="ellipse">
          <a:avLst/>
        </a:prstGeom>
        <a:solidFill>
          <a:srgbClr val="0E2841">
            <a:lumMod val="75000"/>
            <a:lumOff val="25000"/>
          </a:srgbClr>
        </a:solidFill>
        <a:ln w="19050" cap="flat" cmpd="sng" algn="ctr">
          <a:solidFill>
            <a:srgbClr val="0E2841">
              <a:lumMod val="75000"/>
              <a:lumOff val="25000"/>
            </a:srgbClr>
          </a:solidFill>
          <a:prstDash val="solid"/>
          <a:miter lim="800000"/>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2800" b="0" i="0" u="none" strike="noStrike" kern="0" cap="none" spc="0" normalizeH="0" baseline="0" noProof="0">
              <a:ln>
                <a:noFill/>
              </a:ln>
              <a:solidFill>
                <a:sysClr val="window" lastClr="FFFFFF"/>
              </a:solidFill>
              <a:effectLst/>
              <a:uLnTx/>
              <a:uFillTx/>
              <a:latin typeface="Aptos Narrow" panose="02110004020202020204"/>
              <a:ea typeface="+mn-ea"/>
              <a:cs typeface="+mn-cs"/>
            </a:rPr>
            <a:t>PUT</a:t>
          </a:r>
        </a:p>
      </xdr:txBody>
    </xdr:sp>
    <xdr:clientData/>
  </xdr:twoCellAnchor>
  <xdr:twoCellAnchor>
    <xdr:from>
      <xdr:col>0</xdr:col>
      <xdr:colOff>603817</xdr:colOff>
      <xdr:row>74</xdr:row>
      <xdr:rowOff>0</xdr:rowOff>
    </xdr:from>
    <xdr:to>
      <xdr:col>11</xdr:col>
      <xdr:colOff>9337</xdr:colOff>
      <xdr:row>93</xdr:row>
      <xdr:rowOff>0</xdr:rowOff>
    </xdr:to>
    <xdr:graphicFrame macro="">
      <xdr:nvGraphicFramePr>
        <xdr:cNvPr id="7" name="Chart 6">
          <a:extLst>
            <a:ext uri="{FF2B5EF4-FFF2-40B4-BE49-F238E27FC236}">
              <a16:creationId xmlns:a16="http://schemas.microsoft.com/office/drawing/2014/main" id="{3BFDAF4E-66C6-4C77-B85F-A2E0961733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74</xdr:row>
      <xdr:rowOff>8697</xdr:rowOff>
    </xdr:from>
    <xdr:to>
      <xdr:col>23</xdr:col>
      <xdr:colOff>670635</xdr:colOff>
      <xdr:row>93</xdr:row>
      <xdr:rowOff>25967</xdr:rowOff>
    </xdr:to>
    <xdr:graphicFrame macro="">
      <xdr:nvGraphicFramePr>
        <xdr:cNvPr id="10" name="Chart 9">
          <a:extLst>
            <a:ext uri="{FF2B5EF4-FFF2-40B4-BE49-F238E27FC236}">
              <a16:creationId xmlns:a16="http://schemas.microsoft.com/office/drawing/2014/main" id="{BDA765A4-7E6C-4209-965F-8436229D7D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560242</xdr:colOff>
      <xdr:row>50</xdr:row>
      <xdr:rowOff>8985</xdr:rowOff>
    </xdr:from>
    <xdr:to>
      <xdr:col>11</xdr:col>
      <xdr:colOff>9337</xdr:colOff>
      <xdr:row>69</xdr:row>
      <xdr:rowOff>-1</xdr:rowOff>
    </xdr:to>
    <xdr:graphicFrame macro="">
      <xdr:nvGraphicFramePr>
        <xdr:cNvPr id="11" name="Chart 10">
          <a:extLst>
            <a:ext uri="{FF2B5EF4-FFF2-40B4-BE49-F238E27FC236}">
              <a16:creationId xmlns:a16="http://schemas.microsoft.com/office/drawing/2014/main" id="{95DBC310-3701-418B-8B32-AD9829574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681339</xdr:colOff>
      <xdr:row>49</xdr:row>
      <xdr:rowOff>252131</xdr:rowOff>
    </xdr:from>
    <xdr:to>
      <xdr:col>23</xdr:col>
      <xdr:colOff>673584</xdr:colOff>
      <xdr:row>68</xdr:row>
      <xdr:rowOff>252131</xdr:rowOff>
    </xdr:to>
    <xdr:graphicFrame macro="">
      <xdr:nvGraphicFramePr>
        <xdr:cNvPr id="6" name="Chart 5">
          <a:extLst>
            <a:ext uri="{FF2B5EF4-FFF2-40B4-BE49-F238E27FC236}">
              <a16:creationId xmlns:a16="http://schemas.microsoft.com/office/drawing/2014/main" id="{27696926-372E-4D02-81DA-88CCB688E2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554005</xdr:colOff>
      <xdr:row>98</xdr:row>
      <xdr:rowOff>9719</xdr:rowOff>
    </xdr:from>
    <xdr:to>
      <xdr:col>11</xdr:col>
      <xdr:colOff>-1</xdr:colOff>
      <xdr:row>117</xdr:row>
      <xdr:rowOff>733</xdr:rowOff>
    </xdr:to>
    <xdr:graphicFrame macro="">
      <xdr:nvGraphicFramePr>
        <xdr:cNvPr id="12" name="Chart 11">
          <a:extLst>
            <a:ext uri="{FF2B5EF4-FFF2-40B4-BE49-F238E27FC236}">
              <a16:creationId xmlns:a16="http://schemas.microsoft.com/office/drawing/2014/main" id="{A01DC29B-950A-48BE-AD83-FE58A6234F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1</xdr:colOff>
      <xdr:row>98</xdr:row>
      <xdr:rowOff>381</xdr:rowOff>
    </xdr:from>
    <xdr:to>
      <xdr:col>24</xdr:col>
      <xdr:colOff>1</xdr:colOff>
      <xdr:row>116</xdr:row>
      <xdr:rowOff>252133</xdr:rowOff>
    </xdr:to>
    <xdr:graphicFrame macro="">
      <xdr:nvGraphicFramePr>
        <xdr:cNvPr id="15" name="Chart 14">
          <a:extLst>
            <a:ext uri="{FF2B5EF4-FFF2-40B4-BE49-F238E27FC236}">
              <a16:creationId xmlns:a16="http://schemas.microsoft.com/office/drawing/2014/main" id="{542C3153-8D84-4B57-9791-7A611A0B52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xdr:col>
      <xdr:colOff>163179</xdr:colOff>
      <xdr:row>122</xdr:row>
      <xdr:rowOff>82921</xdr:rowOff>
    </xdr:from>
    <xdr:to>
      <xdr:col>7</xdr:col>
      <xdr:colOff>125822</xdr:colOff>
      <xdr:row>128</xdr:row>
      <xdr:rowOff>215988</xdr:rowOff>
    </xdr:to>
    <xdr:sp macro="[0]!ArbresSelonType" textlink="">
      <xdr:nvSpPr>
        <xdr:cNvPr id="8" name="Oval 7" descr="&#10;">
          <a:extLst>
            <a:ext uri="{FF2B5EF4-FFF2-40B4-BE49-F238E27FC236}">
              <a16:creationId xmlns:a16="http://schemas.microsoft.com/office/drawing/2014/main" id="{F7AD78AF-82C0-40CD-99AB-D99C4461559B}"/>
            </a:ext>
          </a:extLst>
        </xdr:cNvPr>
        <xdr:cNvSpPr/>
      </xdr:nvSpPr>
      <xdr:spPr>
        <a:xfrm>
          <a:off x="4063893" y="32460362"/>
          <a:ext cx="2003715" cy="1675210"/>
        </a:xfrm>
        <a:prstGeom prst="ellipse">
          <a:avLst/>
        </a:prstGeom>
        <a:solidFill>
          <a:srgbClr val="0E2841">
            <a:lumMod val="75000"/>
            <a:lumOff val="25000"/>
          </a:srgbClr>
        </a:solidFill>
        <a:ln w="19050" cap="flat" cmpd="sng" algn="ctr">
          <a:solidFill>
            <a:srgbClr val="0E2841">
              <a:lumMod val="75000"/>
              <a:lumOff val="25000"/>
            </a:srgbClr>
          </a:solidFill>
          <a:prstDash val="solid"/>
          <a:miter lim="800000"/>
        </a:ln>
        <a:effectLst>
          <a:outerShdw blurRad="225425" dist="50800" dir="5220000" algn="ctr">
            <a:srgbClr val="000000">
              <a:alpha val="33000"/>
            </a:srgbClr>
          </a:outerShdw>
        </a:effectLst>
        <a:scene3d>
          <a:camera prst="perspectiveFront" fov="3300000">
            <a:rot lat="486000" lon="19530000" rev="174000"/>
          </a:camera>
          <a:lightRig rig="harsh" dir="t">
            <a:rot lat="0" lon="0" rev="3000000"/>
          </a:lightRig>
        </a:scene3d>
        <a:sp3d extrusionH="254000" contourW="19050">
          <a:bevelT w="82550" h="44450" prst="angle"/>
          <a:bevelB w="82550" h="44450" prst="angle"/>
          <a:contourClr>
            <a:srgbClr val="FFFFFF"/>
          </a:contourClr>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GB" sz="2800" b="0" i="0" u="none" strike="noStrike" kern="0" cap="none" spc="0" normalizeH="0" baseline="0" noProof="0">
              <a:ln>
                <a:noFill/>
              </a:ln>
              <a:solidFill>
                <a:sysClr val="window" lastClr="FFFFFF"/>
              </a:solidFill>
              <a:effectLst/>
              <a:uLnTx/>
              <a:uFillTx/>
              <a:latin typeface="Aptos Narrow" panose="02110004020202020204"/>
              <a:ea typeface="+mn-ea"/>
              <a:cs typeface="+mn-cs"/>
            </a:rPr>
            <a:t>ARBRES</a:t>
          </a:r>
        </a:p>
      </xdr:txBody>
    </xdr:sp>
    <xdr:clientData/>
  </xdr:twoCellAnchor>
  <xdr:twoCellAnchor>
    <xdr:from>
      <xdr:col>0</xdr:col>
      <xdr:colOff>514048</xdr:colOff>
      <xdr:row>131</xdr:row>
      <xdr:rowOff>7440</xdr:rowOff>
    </xdr:from>
    <xdr:to>
      <xdr:col>11</xdr:col>
      <xdr:colOff>3465</xdr:colOff>
      <xdr:row>150</xdr:row>
      <xdr:rowOff>2338</xdr:rowOff>
    </xdr:to>
    <xdr:graphicFrame macro="">
      <xdr:nvGraphicFramePr>
        <xdr:cNvPr id="9" name="Chart 8">
          <a:extLst>
            <a:ext uri="{FF2B5EF4-FFF2-40B4-BE49-F238E27FC236}">
              <a16:creationId xmlns:a16="http://schemas.microsoft.com/office/drawing/2014/main" id="{6EBBC1DE-F669-42E7-9C78-64F33610E7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11</xdr:col>
      <xdr:colOff>679295</xdr:colOff>
      <xdr:row>131</xdr:row>
      <xdr:rowOff>7323</xdr:rowOff>
    </xdr:from>
    <xdr:to>
      <xdr:col>24</xdr:col>
      <xdr:colOff>7560</xdr:colOff>
      <xdr:row>149</xdr:row>
      <xdr:rowOff>255361</xdr:rowOff>
    </xdr:to>
    <xdr:graphicFrame macro="">
      <xdr:nvGraphicFramePr>
        <xdr:cNvPr id="16" name="Chart 15">
          <a:extLst>
            <a:ext uri="{FF2B5EF4-FFF2-40B4-BE49-F238E27FC236}">
              <a16:creationId xmlns:a16="http://schemas.microsoft.com/office/drawing/2014/main" id="{F11550A2-7E63-4F69-BAD1-122E8C9E3A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491251</xdr:colOff>
      <xdr:row>151</xdr:row>
      <xdr:rowOff>7322</xdr:rowOff>
    </xdr:from>
    <xdr:to>
      <xdr:col>10</xdr:col>
      <xdr:colOff>680120</xdr:colOff>
      <xdr:row>170</xdr:row>
      <xdr:rowOff>7324</xdr:rowOff>
    </xdr:to>
    <xdr:graphicFrame macro="">
      <xdr:nvGraphicFramePr>
        <xdr:cNvPr id="18" name="Chart 17">
          <a:extLst>
            <a:ext uri="{FF2B5EF4-FFF2-40B4-BE49-F238E27FC236}">
              <a16:creationId xmlns:a16="http://schemas.microsoft.com/office/drawing/2014/main" id="{B086E4B7-FEDA-4C1E-9B91-704097F000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151</xdr:row>
      <xdr:rowOff>7442</xdr:rowOff>
    </xdr:from>
    <xdr:to>
      <xdr:col>24</xdr:col>
      <xdr:colOff>7440</xdr:colOff>
      <xdr:row>170</xdr:row>
      <xdr:rowOff>1882</xdr:rowOff>
    </xdr:to>
    <xdr:graphicFrame macro="">
      <xdr:nvGraphicFramePr>
        <xdr:cNvPr id="20" name="Chart 19">
          <a:extLst>
            <a:ext uri="{FF2B5EF4-FFF2-40B4-BE49-F238E27FC236}">
              <a16:creationId xmlns:a16="http://schemas.microsoft.com/office/drawing/2014/main" id="{8018C93C-1C31-48F8-9C13-214C9AD1E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263867</xdr:colOff>
      <xdr:row>4</xdr:row>
      <xdr:rowOff>177425</xdr:rowOff>
    </xdr:from>
    <xdr:to>
      <xdr:col>13</xdr:col>
      <xdr:colOff>448445</xdr:colOff>
      <xdr:row>8</xdr:row>
      <xdr:rowOff>65366</xdr:rowOff>
    </xdr:to>
    <xdr:pic>
      <xdr:nvPicPr>
        <xdr:cNvPr id="8" name="Picture 7">
          <a:extLst>
            <a:ext uri="{FF2B5EF4-FFF2-40B4-BE49-F238E27FC236}">
              <a16:creationId xmlns:a16="http://schemas.microsoft.com/office/drawing/2014/main" id="{ABF95268-DB48-3C35-8A67-65A0D3D85AC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167249" y="1559484"/>
          <a:ext cx="7767225" cy="933823"/>
        </a:xfrm>
        <a:prstGeom prst="rect">
          <a:avLst/>
        </a:prstGeom>
      </xdr:spPr>
    </xdr:pic>
    <xdr:clientData/>
  </xdr:twoCellAnchor>
  <xdr:twoCellAnchor>
    <xdr:from>
      <xdr:col>0</xdr:col>
      <xdr:colOff>382868</xdr:colOff>
      <xdr:row>16</xdr:row>
      <xdr:rowOff>250995</xdr:rowOff>
    </xdr:from>
    <xdr:to>
      <xdr:col>8</xdr:col>
      <xdr:colOff>1161761</xdr:colOff>
      <xdr:row>36</xdr:row>
      <xdr:rowOff>7215</xdr:rowOff>
    </xdr:to>
    <xdr:graphicFrame macro="">
      <xdr:nvGraphicFramePr>
        <xdr:cNvPr id="4" name="Chart 3">
          <a:extLst>
            <a:ext uri="{FF2B5EF4-FFF2-40B4-BE49-F238E27FC236}">
              <a16:creationId xmlns:a16="http://schemas.microsoft.com/office/drawing/2014/main" id="{AF1CF8D4-4539-BD38-5080-A624AC8C14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8658</xdr:colOff>
      <xdr:row>17</xdr:row>
      <xdr:rowOff>3027</xdr:rowOff>
    </xdr:from>
    <xdr:to>
      <xdr:col>21</xdr:col>
      <xdr:colOff>1</xdr:colOff>
      <xdr:row>36</xdr:row>
      <xdr:rowOff>9338</xdr:rowOff>
    </xdr:to>
    <xdr:graphicFrame macro="">
      <xdr:nvGraphicFramePr>
        <xdr:cNvPr id="2" name="Chart 1">
          <a:extLst>
            <a:ext uri="{FF2B5EF4-FFF2-40B4-BE49-F238E27FC236}">
              <a16:creationId xmlns:a16="http://schemas.microsoft.com/office/drawing/2014/main" id="{19FE1BF8-4243-368F-27C8-A1889F4927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304304</xdr:colOff>
      <xdr:row>42</xdr:row>
      <xdr:rowOff>177427</xdr:rowOff>
    </xdr:from>
    <xdr:to>
      <xdr:col>14</xdr:col>
      <xdr:colOff>420217</xdr:colOff>
      <xdr:row>46</xdr:row>
      <xdr:rowOff>76568</xdr:rowOff>
    </xdr:to>
    <xdr:pic>
      <xdr:nvPicPr>
        <xdr:cNvPr id="5" name="Picture 4">
          <a:extLst>
            <a:ext uri="{FF2B5EF4-FFF2-40B4-BE49-F238E27FC236}">
              <a16:creationId xmlns:a16="http://schemas.microsoft.com/office/drawing/2014/main" id="{F0363AA7-8734-D10A-7ECB-D66D16AD4DD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207686" y="11831545"/>
          <a:ext cx="8380253" cy="945022"/>
        </a:xfrm>
        <a:prstGeom prst="rect">
          <a:avLst/>
        </a:prstGeom>
      </xdr:spPr>
    </xdr:pic>
    <xdr:clientData/>
  </xdr:twoCellAnchor>
  <xdr:twoCellAnchor>
    <xdr:from>
      <xdr:col>0</xdr:col>
      <xdr:colOff>336176</xdr:colOff>
      <xdr:row>54</xdr:row>
      <xdr:rowOff>252131</xdr:rowOff>
    </xdr:from>
    <xdr:to>
      <xdr:col>9</xdr:col>
      <xdr:colOff>0</xdr:colOff>
      <xdr:row>73</xdr:row>
      <xdr:rowOff>256706</xdr:rowOff>
    </xdr:to>
    <xdr:graphicFrame macro="">
      <xdr:nvGraphicFramePr>
        <xdr:cNvPr id="3" name="Chart 2">
          <a:extLst>
            <a:ext uri="{FF2B5EF4-FFF2-40B4-BE49-F238E27FC236}">
              <a16:creationId xmlns:a16="http://schemas.microsoft.com/office/drawing/2014/main" id="{52AC03FC-3838-01E1-D12F-CF5C5EE98F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678889</xdr:colOff>
      <xdr:row>54</xdr:row>
      <xdr:rowOff>248477</xdr:rowOff>
    </xdr:from>
    <xdr:to>
      <xdr:col>21</xdr:col>
      <xdr:colOff>0</xdr:colOff>
      <xdr:row>74</xdr:row>
      <xdr:rowOff>9338</xdr:rowOff>
    </xdr:to>
    <xdr:graphicFrame macro="">
      <xdr:nvGraphicFramePr>
        <xdr:cNvPr id="9" name="Chart 8">
          <a:extLst>
            <a:ext uri="{FF2B5EF4-FFF2-40B4-BE49-F238E27FC236}">
              <a16:creationId xmlns:a16="http://schemas.microsoft.com/office/drawing/2014/main" id="{8076EE98-FD7E-3950-7241-1D674E3D1F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2E58E-A23A-4986-B45C-4ADC248AC52F}">
  <sheetPr codeName="Sheet1"/>
  <dimension ref="A1:DG287"/>
  <sheetViews>
    <sheetView tabSelected="1" zoomScale="63" zoomScaleNormal="63" workbookViewId="0">
      <selection activeCell="C4" sqref="C4"/>
    </sheetView>
  </sheetViews>
  <sheetFormatPr defaultColWidth="9.53125" defaultRowHeight="20.350000000000001" customHeight="1" x14ac:dyDescent="0.45"/>
  <cols>
    <col min="1" max="1" width="17.73046875" customWidth="1"/>
    <col min="2" max="2" width="17.796875" customWidth="1"/>
  </cols>
  <sheetData>
    <row r="1" spans="1:104" ht="46.9" x14ac:dyDescent="0.45">
      <c r="A1" s="41" t="s">
        <v>24</v>
      </c>
    </row>
    <row r="2" spans="1:104" ht="20.350000000000001" customHeight="1" thickBot="1" x14ac:dyDescent="0.5"/>
    <row r="3" spans="1:104" ht="20.350000000000001" customHeight="1" thickTop="1" thickBot="1" x14ac:dyDescent="0.5">
      <c r="A3" s="8" t="s">
        <v>0</v>
      </c>
      <c r="B3" s="6"/>
      <c r="C3" s="7"/>
      <c r="E3" s="80"/>
      <c r="F3" s="81"/>
      <c r="G3" s="82"/>
      <c r="I3" s="80"/>
      <c r="J3" s="81"/>
      <c r="K3" s="82"/>
    </row>
    <row r="4" spans="1:104" ht="20.350000000000001" customHeight="1" thickTop="1" thickBot="1" x14ac:dyDescent="0.5">
      <c r="A4" s="14" t="s">
        <v>1</v>
      </c>
      <c r="B4" s="15" t="s">
        <v>14</v>
      </c>
      <c r="C4" s="15">
        <v>100</v>
      </c>
      <c r="E4" s="83"/>
      <c r="F4" s="52"/>
      <c r="G4" s="84"/>
      <c r="I4" s="83"/>
      <c r="J4" s="52"/>
      <c r="K4" s="84"/>
    </row>
    <row r="5" spans="1:104" ht="20.350000000000001" customHeight="1" thickTop="1" thickBot="1" x14ac:dyDescent="0.5">
      <c r="A5" s="14" t="s">
        <v>2</v>
      </c>
      <c r="B5" s="14" t="s">
        <v>3</v>
      </c>
      <c r="C5" s="14">
        <v>0.05</v>
      </c>
      <c r="E5" s="83"/>
      <c r="F5" s="52"/>
      <c r="G5" s="84"/>
      <c r="I5" s="83"/>
      <c r="J5" s="52"/>
      <c r="K5" s="84"/>
    </row>
    <row r="6" spans="1:104" ht="20.350000000000001" customHeight="1" thickTop="1" thickBot="1" x14ac:dyDescent="0.5">
      <c r="A6" s="14" t="s">
        <v>4</v>
      </c>
      <c r="B6" s="14" t="s">
        <v>5</v>
      </c>
      <c r="C6" s="14">
        <v>0.2</v>
      </c>
      <c r="E6" s="83"/>
      <c r="F6" s="52"/>
      <c r="G6" s="84"/>
      <c r="I6" s="83"/>
      <c r="J6" s="52"/>
      <c r="K6" s="84"/>
    </row>
    <row r="7" spans="1:104" ht="20.350000000000001" customHeight="1" thickTop="1" thickBot="1" x14ac:dyDescent="0.5">
      <c r="A7" s="14" t="s">
        <v>6</v>
      </c>
      <c r="B7" s="14" t="s">
        <v>7</v>
      </c>
      <c r="C7" s="14">
        <v>1</v>
      </c>
      <c r="E7" s="83"/>
      <c r="F7" s="52"/>
      <c r="G7" s="84"/>
      <c r="I7" s="83"/>
      <c r="J7" s="52"/>
      <c r="K7" s="84"/>
      <c r="CY7" s="12">
        <f>CY21</f>
        <v>10.450583572185565</v>
      </c>
      <c r="CZ7" s="12">
        <f>CY23</f>
        <v>5.5735260222569707</v>
      </c>
    </row>
    <row r="8" spans="1:104" ht="20.350000000000001" customHeight="1" thickTop="1" thickBot="1" x14ac:dyDescent="0.5">
      <c r="A8" s="14" t="s">
        <v>10</v>
      </c>
      <c r="B8" s="14" t="s">
        <v>11</v>
      </c>
      <c r="C8" s="14">
        <v>100</v>
      </c>
      <c r="E8" s="83"/>
      <c r="F8" s="52"/>
      <c r="G8" s="84"/>
      <c r="I8" s="83"/>
      <c r="J8" s="52"/>
      <c r="K8" s="84"/>
      <c r="CY8" s="12">
        <f>CY21</f>
        <v>10.450583572185565</v>
      </c>
      <c r="CZ8" s="12">
        <f>CY23</f>
        <v>5.5735260222569707</v>
      </c>
    </row>
    <row r="9" spans="1:104" ht="20.350000000000001" customHeight="1" thickTop="1" thickBot="1" x14ac:dyDescent="0.5">
      <c r="A9" s="14" t="s">
        <v>8</v>
      </c>
      <c r="B9" s="14" t="s">
        <v>9</v>
      </c>
      <c r="C9" s="14">
        <v>10</v>
      </c>
      <c r="E9" s="85"/>
      <c r="F9" s="86"/>
      <c r="G9" s="87"/>
      <c r="I9" s="85"/>
      <c r="J9" s="86"/>
      <c r="K9" s="87"/>
    </row>
    <row r="10" spans="1:104" ht="20.350000000000001" customHeight="1" thickTop="1" x14ac:dyDescent="0.45"/>
    <row r="11" spans="1:104" ht="46.9" x14ac:dyDescent="0.45">
      <c r="A11" s="41" t="s">
        <v>23</v>
      </c>
    </row>
    <row r="12" spans="1:104" ht="20.350000000000001" customHeight="1" thickBot="1" x14ac:dyDescent="1.05">
      <c r="A12" s="13"/>
    </row>
    <row r="13" spans="1:104" ht="20.350000000000001" customHeight="1" thickTop="1" thickBot="1" x14ac:dyDescent="0.5">
      <c r="A13" s="8" t="s">
        <v>0</v>
      </c>
      <c r="B13" s="6"/>
      <c r="C13" s="7"/>
      <c r="D13" s="1"/>
      <c r="E13" s="1"/>
      <c r="F13" s="1"/>
      <c r="G13" s="1"/>
      <c r="H13" s="1"/>
      <c r="I13" s="1"/>
      <c r="J13" s="1"/>
      <c r="K13" s="1"/>
      <c r="L13" s="1"/>
      <c r="M13" s="1"/>
      <c r="N13" s="1"/>
      <c r="O13" s="1"/>
      <c r="P13" s="1"/>
      <c r="Q13" s="1"/>
      <c r="R13" s="1"/>
    </row>
    <row r="14" spans="1:104" ht="20.350000000000001" customHeight="1" thickTop="1" thickBot="1" x14ac:dyDescent="0.5">
      <c r="A14" s="14" t="s">
        <v>1</v>
      </c>
      <c r="B14" s="15" t="s">
        <v>14</v>
      </c>
      <c r="C14" s="15">
        <v>100</v>
      </c>
      <c r="D14" s="1"/>
      <c r="E14" s="1"/>
      <c r="F14" s="1"/>
      <c r="G14" s="1"/>
      <c r="H14" s="1"/>
      <c r="I14" s="1"/>
      <c r="J14" s="1"/>
      <c r="K14" s="1"/>
      <c r="L14" s="1"/>
      <c r="M14" s="1"/>
      <c r="N14" s="1"/>
      <c r="O14" s="1"/>
      <c r="P14" s="1"/>
      <c r="Q14" s="1"/>
      <c r="R14" s="1"/>
      <c r="W14" s="12"/>
      <c r="X14" s="12"/>
    </row>
    <row r="15" spans="1:104" ht="20.350000000000001" customHeight="1" thickTop="1" thickBot="1" x14ac:dyDescent="0.5">
      <c r="A15" s="14" t="s">
        <v>2</v>
      </c>
      <c r="B15" s="14" t="s">
        <v>3</v>
      </c>
      <c r="C15" s="14">
        <v>0.05</v>
      </c>
      <c r="D15" s="1"/>
      <c r="E15" s="1"/>
      <c r="F15" s="1"/>
      <c r="G15" s="1"/>
      <c r="H15" s="1"/>
      <c r="I15" s="1"/>
      <c r="J15" s="1"/>
      <c r="K15" s="1"/>
      <c r="L15" s="1"/>
      <c r="M15" s="1"/>
      <c r="N15" s="1"/>
      <c r="O15" s="1"/>
      <c r="P15" s="1"/>
      <c r="Q15" s="1"/>
      <c r="R15" s="1"/>
      <c r="W15" s="12"/>
      <c r="X15" s="12"/>
    </row>
    <row r="16" spans="1:104" ht="20.350000000000001" customHeight="1" thickTop="1" thickBot="1" x14ac:dyDescent="0.5">
      <c r="A16" s="14" t="s">
        <v>4</v>
      </c>
      <c r="B16" s="14" t="s">
        <v>5</v>
      </c>
      <c r="C16" s="14">
        <v>0.2</v>
      </c>
      <c r="D16" s="1"/>
      <c r="E16" s="1"/>
      <c r="F16" s="1"/>
      <c r="G16" s="1"/>
      <c r="H16" s="1"/>
      <c r="I16" s="1"/>
      <c r="J16" s="1"/>
      <c r="K16" s="1"/>
      <c r="L16" s="1"/>
      <c r="M16" s="1"/>
      <c r="N16" s="1"/>
      <c r="O16" s="1"/>
      <c r="P16" s="1"/>
      <c r="Q16" s="1"/>
      <c r="R16" s="1"/>
      <c r="W16" s="12"/>
      <c r="X16" s="12"/>
    </row>
    <row r="17" spans="1:104" ht="20.350000000000001" customHeight="1" thickTop="1" thickBot="1" x14ac:dyDescent="0.5">
      <c r="A17" s="14" t="s">
        <v>6</v>
      </c>
      <c r="B17" s="14" t="s">
        <v>7</v>
      </c>
      <c r="C17" s="14">
        <v>1</v>
      </c>
      <c r="D17" s="1"/>
      <c r="E17" s="1"/>
      <c r="F17" s="1"/>
      <c r="G17" s="1"/>
      <c r="H17" s="1"/>
      <c r="I17" s="1"/>
      <c r="J17" s="1"/>
      <c r="K17" s="1"/>
      <c r="L17" s="1"/>
      <c r="M17" s="1"/>
      <c r="N17" s="1"/>
      <c r="O17" s="19"/>
      <c r="P17" s="1"/>
      <c r="W17" s="12"/>
      <c r="X17" s="12"/>
      <c r="CY17" s="11" t="s">
        <v>19</v>
      </c>
      <c r="CZ17" s="1"/>
    </row>
    <row r="18" spans="1:104" ht="20.350000000000001" customHeight="1" thickTop="1" thickBot="1" x14ac:dyDescent="0.5">
      <c r="A18" s="14" t="s">
        <v>10</v>
      </c>
      <c r="B18" s="14" t="s">
        <v>11</v>
      </c>
      <c r="C18" s="14">
        <v>100</v>
      </c>
      <c r="D18" s="1"/>
      <c r="E18" s="1"/>
      <c r="F18" s="1"/>
      <c r="G18" s="1"/>
      <c r="H18" s="1"/>
      <c r="I18" s="1"/>
      <c r="J18" s="1"/>
      <c r="K18" s="1"/>
      <c r="L18" s="1"/>
      <c r="M18" s="1"/>
      <c r="N18" s="1"/>
      <c r="O18" s="1"/>
      <c r="P18" s="1"/>
      <c r="T18" s="24"/>
      <c r="W18" s="12"/>
      <c r="X18" s="12"/>
      <c r="CY18" s="14" t="s">
        <v>15</v>
      </c>
      <c r="CZ18" s="29">
        <f>(LN(C18/C14) - (C15 - 0.5*C16^2)*C17) / (C16*SQRT(C17))</f>
        <v>-0.15</v>
      </c>
    </row>
    <row r="19" spans="1:104" ht="20.350000000000001" customHeight="1" thickTop="1" thickBot="1" x14ac:dyDescent="0.5">
      <c r="A19" s="14" t="s">
        <v>8</v>
      </c>
      <c r="B19" s="14" t="s">
        <v>9</v>
      </c>
      <c r="C19" s="14">
        <v>2</v>
      </c>
      <c r="D19" s="14">
        <v>3</v>
      </c>
      <c r="E19" s="14">
        <v>4</v>
      </c>
      <c r="F19" s="14">
        <v>5</v>
      </c>
      <c r="G19" s="14">
        <v>6</v>
      </c>
      <c r="H19" s="14">
        <v>7</v>
      </c>
      <c r="I19" s="14">
        <v>8</v>
      </c>
      <c r="J19" s="14">
        <v>9</v>
      </c>
      <c r="K19" s="14">
        <v>10</v>
      </c>
      <c r="L19" s="14">
        <v>11</v>
      </c>
      <c r="M19" s="14">
        <v>12</v>
      </c>
      <c r="N19" s="14">
        <v>13</v>
      </c>
      <c r="O19" s="14">
        <v>14</v>
      </c>
      <c r="P19" s="14">
        <v>15</v>
      </c>
      <c r="Q19" s="14">
        <v>16</v>
      </c>
      <c r="R19" s="14">
        <v>17</v>
      </c>
      <c r="S19" s="14">
        <v>18</v>
      </c>
      <c r="T19" s="14">
        <v>19</v>
      </c>
      <c r="U19" s="14">
        <v>20</v>
      </c>
      <c r="V19" s="14">
        <v>21</v>
      </c>
      <c r="W19" s="14">
        <v>22</v>
      </c>
      <c r="X19" s="14">
        <v>23</v>
      </c>
      <c r="Y19" s="14">
        <v>24</v>
      </c>
      <c r="Z19" s="14">
        <v>25</v>
      </c>
      <c r="AA19" s="14">
        <v>26</v>
      </c>
      <c r="AB19" s="14">
        <v>27</v>
      </c>
      <c r="AC19" s="14">
        <v>28</v>
      </c>
      <c r="AD19" s="14">
        <v>29</v>
      </c>
      <c r="AE19" s="14">
        <v>30</v>
      </c>
      <c r="AF19" s="14">
        <v>31</v>
      </c>
      <c r="AG19" s="14">
        <v>32</v>
      </c>
      <c r="AH19" s="14">
        <v>33</v>
      </c>
      <c r="AI19" s="14">
        <v>34</v>
      </c>
      <c r="AJ19" s="14">
        <v>35</v>
      </c>
      <c r="AK19" s="14">
        <v>36</v>
      </c>
      <c r="AL19" s="14">
        <v>37</v>
      </c>
      <c r="AM19" s="14">
        <v>38</v>
      </c>
      <c r="AN19" s="14">
        <v>39</v>
      </c>
      <c r="AO19" s="14">
        <v>40</v>
      </c>
      <c r="AP19" s="14">
        <v>41</v>
      </c>
      <c r="AQ19" s="14">
        <v>42</v>
      </c>
      <c r="AR19" s="14">
        <v>43</v>
      </c>
      <c r="AS19" s="14">
        <v>44</v>
      </c>
      <c r="AT19" s="14">
        <v>45</v>
      </c>
      <c r="AU19" s="14">
        <v>46</v>
      </c>
      <c r="AV19" s="14">
        <v>47</v>
      </c>
      <c r="AW19" s="14">
        <v>48</v>
      </c>
      <c r="AX19" s="14">
        <v>49</v>
      </c>
      <c r="AY19" s="14">
        <v>50</v>
      </c>
      <c r="AZ19" s="14">
        <v>51</v>
      </c>
      <c r="BA19" s="14">
        <v>52</v>
      </c>
      <c r="BB19" s="14">
        <v>53</v>
      </c>
      <c r="BC19" s="14">
        <v>54</v>
      </c>
      <c r="BD19" s="14">
        <v>55</v>
      </c>
      <c r="BE19" s="14">
        <v>56</v>
      </c>
      <c r="BF19" s="14">
        <v>57</v>
      </c>
      <c r="BG19" s="14">
        <v>58</v>
      </c>
      <c r="BH19" s="14">
        <v>59</v>
      </c>
      <c r="BI19" s="14">
        <v>60</v>
      </c>
      <c r="BJ19" s="14">
        <v>61</v>
      </c>
      <c r="BK19" s="14">
        <v>62</v>
      </c>
      <c r="BL19" s="14">
        <v>63</v>
      </c>
      <c r="BM19" s="14">
        <v>64</v>
      </c>
      <c r="BN19" s="14">
        <v>65</v>
      </c>
      <c r="BO19" s="14">
        <v>66</v>
      </c>
      <c r="BP19" s="14">
        <v>67</v>
      </c>
      <c r="BQ19" s="14">
        <v>68</v>
      </c>
      <c r="BR19" s="14">
        <v>69</v>
      </c>
      <c r="BS19" s="14">
        <v>70</v>
      </c>
      <c r="BT19" s="14">
        <v>71</v>
      </c>
      <c r="BU19" s="14">
        <v>72</v>
      </c>
      <c r="BV19" s="14">
        <v>73</v>
      </c>
      <c r="BW19" s="14">
        <v>74</v>
      </c>
      <c r="BX19" s="14">
        <v>75</v>
      </c>
      <c r="BY19" s="14">
        <v>76</v>
      </c>
      <c r="BZ19" s="14">
        <v>77</v>
      </c>
      <c r="CA19" s="14">
        <v>78</v>
      </c>
      <c r="CB19" s="14">
        <v>79</v>
      </c>
      <c r="CC19" s="14">
        <v>80</v>
      </c>
      <c r="CD19" s="14">
        <v>81</v>
      </c>
      <c r="CE19" s="14">
        <v>82</v>
      </c>
      <c r="CF19" s="14">
        <v>83</v>
      </c>
      <c r="CG19" s="14">
        <v>84</v>
      </c>
      <c r="CH19" s="14">
        <v>85</v>
      </c>
      <c r="CI19" s="14">
        <v>86</v>
      </c>
      <c r="CJ19" s="14">
        <v>87</v>
      </c>
      <c r="CK19" s="14">
        <v>88</v>
      </c>
      <c r="CL19" s="14">
        <v>89</v>
      </c>
      <c r="CM19" s="14">
        <v>90</v>
      </c>
      <c r="CN19" s="14">
        <v>91</v>
      </c>
      <c r="CO19" s="14">
        <v>92</v>
      </c>
      <c r="CP19" s="14">
        <v>93</v>
      </c>
      <c r="CQ19" s="14">
        <v>94</v>
      </c>
      <c r="CR19" s="14">
        <v>95</v>
      </c>
      <c r="CS19" s="14">
        <v>96</v>
      </c>
      <c r="CT19" s="14">
        <v>97</v>
      </c>
      <c r="CU19" s="14">
        <v>98</v>
      </c>
      <c r="CV19" s="14">
        <v>99</v>
      </c>
      <c r="CW19" s="14">
        <v>100</v>
      </c>
      <c r="CX19" s="38"/>
      <c r="CY19" s="14" t="s">
        <v>16</v>
      </c>
      <c r="CZ19" s="29">
        <f>(LN(C14/C18) + (C15 + 0.5*C16^2)*C17) / (C16*SQRT(C17))</f>
        <v>0.35000000000000003</v>
      </c>
    </row>
    <row r="20" spans="1:104" ht="20.350000000000001" customHeight="1" thickTop="1" thickBot="1" x14ac:dyDescent="0.5">
      <c r="A20" s="1"/>
      <c r="B20" s="1"/>
      <c r="C20" s="1"/>
      <c r="D20" s="1"/>
      <c r="E20" s="20"/>
      <c r="F20" s="20"/>
      <c r="G20" s="20"/>
      <c r="H20" s="20"/>
      <c r="I20" s="20"/>
      <c r="J20" s="20"/>
      <c r="K20" s="20"/>
      <c r="L20" s="20"/>
      <c r="M20" s="20"/>
      <c r="N20" s="20"/>
      <c r="O20" s="20"/>
      <c r="P20" s="1"/>
      <c r="T20" s="24"/>
      <c r="W20" s="12"/>
      <c r="X20" s="12"/>
      <c r="CY20" s="1"/>
      <c r="CZ20" s="1"/>
    </row>
    <row r="21" spans="1:104" ht="20.350000000000001" customHeight="1" thickTop="1" thickBot="1" x14ac:dyDescent="0.5">
      <c r="A21" s="9" t="s">
        <v>13</v>
      </c>
      <c r="B21" s="5"/>
      <c r="C21" s="17" cm="1">
        <f t="array" ref="C21">PriceCallEu($C$14, $C$15, $C$16, $C$17, C$19, $C$18)</f>
        <v>10.036615830731341</v>
      </c>
      <c r="D21" s="17" cm="1">
        <f t="array" ref="D21">PriceCallEu($C$14, $C$15, $C$16, $C$17, D$19, $C$18)</f>
        <v>10.900579663552488</v>
      </c>
      <c r="E21" s="17" cm="1">
        <f t="array" ref="E21">PriceCallEu($C$14, $C$15, $C$16, $C$17, E$19, $C$18)</f>
        <v>10.352014239365653</v>
      </c>
      <c r="F21" s="17" cm="1">
        <f t="array" ref="F21">PriceCallEu($C$14, $C$15, $C$16, $C$17, F$19, $C$18)</f>
        <v>10.685644220422226</v>
      </c>
      <c r="G21" s="17" cm="1">
        <f t="array" ref="G21">PriceCallEu($C$14, $C$15, $C$16, $C$17, G$19, $C$18)</f>
        <v>10.44056419396232</v>
      </c>
      <c r="H21" s="17" cm="1">
        <f t="array" ref="H21">PriceCallEu($C$14, $C$15, $C$16, $C$17, H$19, $C$18)</f>
        <v>10.593318538681816</v>
      </c>
      <c r="I21" s="17" cm="1">
        <f t="array" ref="I21">PriceCallEu($C$14, $C$15, $C$16, $C$17, I$19, $C$18)</f>
        <v>10.475933173862805</v>
      </c>
      <c r="J21" s="17" cm="1">
        <f t="array" ref="J21">PriceCallEu($C$14, $C$15, $C$16, $C$17, J$19, $C$18)</f>
        <v>10.542129682611758</v>
      </c>
      <c r="K21" s="17" cm="1">
        <f t="array" ref="K21">PriceCallEu($C$14, $C$15, $C$16, $C$17, K$19, $C$18)</f>
        <v>10.492229833519369</v>
      </c>
      <c r="L21" s="17" cm="1">
        <f t="array" ref="L21">PriceCallEu($C$14, $C$15, $C$16, $C$17, L$19, $C$18)</f>
        <v>10.509626471734739</v>
      </c>
      <c r="M21" s="17" cm="1">
        <f t="array" ref="M21">PriceCallEu($C$14, $C$15, $C$16, $C$17, M$19, $C$18)</f>
        <v>10.500088653882903</v>
      </c>
      <c r="N21" s="17" cm="1">
        <f t="array" ref="N21">PriceCallEu($C$14, $C$15, $C$16, $C$17, N$19, $C$18)</f>
        <v>10.487166454411545</v>
      </c>
      <c r="O21" s="17" cm="1">
        <f t="array" ref="O21">PriceCallEu($C$14, $C$15, $C$16, $C$17, O$19, $C$18)</f>
        <v>10.503721188872795</v>
      </c>
      <c r="P21" s="17" cm="1">
        <f t="array" ref="P21">PriceCallEu($C$14, $C$15, $C$16, $C$17, P$19, $C$18)</f>
        <v>10.470721178709228</v>
      </c>
      <c r="Q21" s="17" cm="1">
        <f t="array" ref="Q21">PriceCallEu($C$14, $C$15, $C$16, $C$17, Q$19, $C$18)</f>
        <v>10.505062510798465</v>
      </c>
      <c r="R21" s="17" cm="1">
        <f t="array" ref="R21">PriceCallEu($C$14, $C$15, $C$16, $C$17, R$19, $C$18)</f>
        <v>10.45816132675415</v>
      </c>
      <c r="S21" s="17" cm="1">
        <f t="array" ref="S21">PriceCallEu($C$14, $C$15, $C$16, $C$17, S$19, $C$18)</f>
        <v>10.505096458577668</v>
      </c>
      <c r="T21" s="17" cm="1">
        <f t="array" ref="T21">PriceCallEu($C$14, $C$15, $C$16, $C$17, T$19, $C$18)</f>
        <v>10.448256090578969</v>
      </c>
      <c r="U21" s="17" cm="1">
        <f t="array" ref="U21">PriceCallEu($C$14, $C$15, $C$16, $C$17, U$19, $C$18)</f>
        <v>10.504361046821794</v>
      </c>
      <c r="V21" s="17" cm="1">
        <f t="array" ref="V21">PriceCallEu($C$14, $C$15, $C$16, $C$17, V$19, $C$18)</f>
        <v>10.440244653561399</v>
      </c>
      <c r="W21" s="17" cm="1">
        <f t="array" ref="W21">PriceCallEu($C$14, $C$15, $C$16, $C$17, W$19, $C$18)</f>
        <v>10.50316686679253</v>
      </c>
      <c r="X21" s="17" cm="1">
        <f t="array" ref="X21">PriceCallEu($C$14, $C$15, $C$16, $C$17, X$19, $C$18)</f>
        <v>10.43363147988298</v>
      </c>
      <c r="Y21" s="17" cm="1">
        <f t="array" ref="Y21">PriceCallEu($C$14, $C$15, $C$16, $C$17, Y$19, $C$18)</f>
        <v>10.501700709806729</v>
      </c>
      <c r="Z21" s="17" cm="1">
        <f t="array" ref="Z21">PriceCallEu($C$14, $C$15, $C$16, $C$17, Z$19, $C$18)</f>
        <v>10.428079996697914</v>
      </c>
      <c r="AA21" s="17" cm="1">
        <f t="array" ref="AA21">PriceCallEu($C$14, $C$15, $C$16, $C$17, AA$19, $C$18)</f>
        <v>10.500078437828847</v>
      </c>
      <c r="AB21" s="17" cm="1">
        <f t="array" ref="AB21">PriceCallEu($C$14, $C$15, $C$16, $C$17, AB$19, $C$18)</f>
        <v>10.423353600645678</v>
      </c>
      <c r="AC21" s="17" cm="1">
        <f t="array" ref="AC21">PriceCallEu($C$14, $C$15, $C$16, $C$17, AC$19, $C$18)</f>
        <v>10.49837357199373</v>
      </c>
      <c r="AD21" s="17" cm="1">
        <f t="array" ref="AD21">PriceCallEu($C$14, $C$15, $C$16, $C$17, AD$19, $C$18)</f>
        <v>10.419281115353401</v>
      </c>
      <c r="AE21" s="17" cm="1">
        <f t="array" ref="AE21">PriceCallEu($C$14, $C$15, $C$16, $C$17, AE$19, $C$18)</f>
        <v>10.496633501622927</v>
      </c>
      <c r="AF21" s="17" cm="1">
        <f t="array" ref="AF21">PriceCallEu($C$14, $C$15, $C$16, $C$17, AF$19, $C$18)</f>
        <v>10.415735642924723</v>
      </c>
      <c r="AG21" s="17" cm="1">
        <f t="array" ref="AG21">PriceCallEu($C$14, $C$15, $C$16, $C$17, AG$19, $C$18)</f>
        <v>10.494889042884822</v>
      </c>
      <c r="AH21" s="17" cm="1">
        <f t="array" ref="AH21">PriceCallEu($C$14, $C$15, $C$16, $C$17, AH$19, $C$18)</f>
        <v>10.412621119097263</v>
      </c>
      <c r="AI21" s="17" cm="1">
        <f t="array" ref="AI21">PriceCallEu($C$14, $C$15, $C$16, $C$17, AI$19, $C$18)</f>
        <v>10.493160264832737</v>
      </c>
      <c r="AJ21" s="17" cm="1">
        <f t="array" ref="AJ21">PriceCallEu($C$14, $C$15, $C$16, $C$17, AJ$19, $C$18)</f>
        <v>10.409863486078367</v>
      </c>
      <c r="AK21" s="17" cm="1">
        <f t="array" ref="AK21">PriceCallEu($C$14, $C$15, $C$16, $C$17, AK$19, $C$18)</f>
        <v>10.491460141087826</v>
      </c>
      <c r="AL21" s="17" cm="1">
        <f t="array" ref="AL21">PriceCallEu($C$14, $C$15, $C$16, $C$17, AL$19, $C$18)</f>
        <v>10.407404733213751</v>
      </c>
      <c r="AM21" s="17" cm="1">
        <f t="array" ref="AM21">PriceCallEu($C$14, $C$15, $C$16, $C$17, AM$19, $C$18)</f>
        <v>10.489796893853848</v>
      </c>
      <c r="AN21" s="17" cm="1">
        <f t="array" ref="AN21">PriceCallEu($C$14, $C$15, $C$16, $C$17, AN$19, $C$18)</f>
        <v>10.40519877445375</v>
      </c>
      <c r="AO21" s="17" cm="1">
        <f t="array" ref="AO21">PriceCallEu($C$14, $C$15, $C$16, $C$17, AO$19, $C$18)</f>
        <v>10.488175529502495</v>
      </c>
      <c r="AP21" s="17" cm="1">
        <f t="array" ref="AP21">PriceCallEu($C$14, $C$15, $C$16, $C$17, AP$19, $C$18)</f>
        <v>10.40320853446344</v>
      </c>
      <c r="AQ21" s="17" cm="1">
        <f t="array" ref="AQ21">PriceCallEu($C$14, $C$15, $C$16, $C$17, AQ$19, $C$18)</f>
        <v>10.486598862205856</v>
      </c>
      <c r="AR21" s="17" cm="1">
        <f t="array" ref="AR21">PriceCallEu($C$14, $C$15, $C$16, $C$17, AR$19, $C$18)</f>
        <v>10.401403849275262</v>
      </c>
      <c r="AS21" s="17" cm="1">
        <f t="array" ref="AS21">PriceCallEu($C$14, $C$15, $C$16, $C$17, AS$19, $C$18)</f>
        <v>10.485068206483005</v>
      </c>
      <c r="AT21" s="17" cm="1">
        <f t="array" ref="AT21">PriceCallEu($C$14, $C$15, $C$16, $C$17, AT$19, $C$18)</f>
        <v>10.402184321816566</v>
      </c>
      <c r="AU21" s="17" cm="1">
        <f t="array" ref="AU21">PriceCallEu($C$14, $C$15, $C$16, $C$17, AU$19, $C$18)</f>
        <v>10.483583851623246</v>
      </c>
      <c r="AV21" s="17" cm="1">
        <f t="array" ref="AV21">PriceCallEu($C$14, $C$15, $C$16, $C$17, AV$19, $C$18)</f>
        <v>10.407601913994203</v>
      </c>
      <c r="AW21" s="17" cm="1">
        <f t="array" ref="AW21">PriceCallEu($C$14, $C$15, $C$16, $C$17, AW$19, $C$18)</f>
        <v>10.482145390062138</v>
      </c>
      <c r="AX21" s="17" cm="1">
        <f t="array" ref="AX21">PriceCallEu($C$14, $C$15, $C$16, $C$17, AX$19, $C$18)</f>
        <v>10.412448632684285</v>
      </c>
      <c r="AY21" s="17" cm="1">
        <f t="array" ref="AY21">PriceCallEu($C$14, $C$15, $C$16, $C$17, AY$19, $C$18)</f>
        <v>10.480751946550008</v>
      </c>
      <c r="AZ21" s="17" cm="1">
        <f t="array" ref="AZ21">PriceCallEu($C$14, $C$15, $C$16, $C$17, AZ$19, $C$18)</f>
        <v>10.416798182753327</v>
      </c>
      <c r="BA21" s="17" cm="1">
        <f t="array" ref="BA21">PriceCallEu($C$14, $C$15, $C$16, $C$17, BA$19, $C$18)</f>
        <v>10.479402339077005</v>
      </c>
      <c r="BB21" s="17" cm="1">
        <f t="array" ref="BB21">PriceCallEu($C$14, $C$15, $C$16, $C$17, BB$19, $C$18)</f>
        <v>10.420712630737373</v>
      </c>
      <c r="BC21" s="17" cm="1">
        <f t="array" ref="BC21">PriceCallEu($C$14, $C$15, $C$16, $C$17, BC$19, $C$18)</f>
        <v>10.478095192341296</v>
      </c>
      <c r="BD21" s="17" cm="1">
        <f t="array" ref="BD21">PriceCallEu($C$14, $C$15, $C$16, $C$17, BD$19, $C$18)</f>
        <v>10.424244572459466</v>
      </c>
      <c r="BE21" s="17" cm="1">
        <f t="array" ref="BE21">PriceCallEu($C$14, $C$15, $C$16, $C$17, BE$19, $C$18)</f>
        <v>10.476829017891488</v>
      </c>
      <c r="BF21" s="17" cm="1">
        <f t="array" ref="BF21">PriceCallEu($C$14, $C$15, $C$16, $C$17, BF$19, $C$18)</f>
        <v>10.427438838363859</v>
      </c>
      <c r="BG21" s="17" cm="1">
        <f t="array" ref="BG21">PriceCallEu($C$14, $C$15, $C$16, $C$17, BG$19, $C$18)</f>
        <v>10.475602270676188</v>
      </c>
      <c r="BH21" s="17" cm="1">
        <f t="array" ref="BH21">PriceCallEu($C$14, $C$15, $C$16, $C$17, BH$19, $C$18)</f>
        <v>10.430333846960615</v>
      </c>
      <c r="BI21" s="17" cm="1">
        <f t="array" ref="BI21">PriceCallEu($C$14, $C$15, $C$16, $C$17, BI$19, $C$18)</f>
        <v>10.474413388783749</v>
      </c>
      <c r="BJ21" s="17" cm="1">
        <f t="array" ref="BJ21">PriceCallEu($C$14, $C$15, $C$16, $C$17, BJ$19, $C$18)</f>
        <v>10.432962687747606</v>
      </c>
      <c r="BK21" s="17" cm="1">
        <f t="array" ref="BK21">PriceCallEu($C$14, $C$15, $C$16, $C$17, BK$19, $C$18)</f>
        <v>10.473260821126072</v>
      </c>
      <c r="BL21" s="17" cm="1">
        <f t="array" ref="BL21">PriceCallEu($C$14, $C$15, $C$16, $C$17, BL$19, $C$18)</f>
        <v>10.435353994269157</v>
      </c>
      <c r="BM21" s="17" cm="1">
        <f t="array" ref="BM21">PriceCallEu($C$14, $C$15, $C$16, $C$17, BM$19, $C$18)</f>
        <v>10.472143046452585</v>
      </c>
      <c r="BN21" s="17" cm="1">
        <f t="array" ref="BN21">PriceCallEu($C$14, $C$15, $C$16, $C$17, BN$19, $C$18)</f>
        <v>10.437532652948336</v>
      </c>
      <c r="BO21" s="17" cm="1">
        <f t="array" ref="BO21">PriceCallEu($C$14, $C$15, $C$16, $C$17, BO$19, $C$18)</f>
        <v>10.471058586105135</v>
      </c>
      <c r="BP21" s="17" cm="1">
        <f t="array" ref="BP21">PriceCallEu($C$14, $C$15, $C$16, $C$17, BP$19, $C$18)</f>
        <v>10.439520382395251</v>
      </c>
      <c r="BQ21" s="17" cm="1">
        <f t="array" ref="BQ21">PriceCallEu($C$14, $C$15, $C$16, $C$17, BQ$19, $C$18)</f>
        <v>10.470006012256082</v>
      </c>
      <c r="BR21" s="17" cm="1">
        <f t="array" ref="BR21">PriceCallEu($C$14, $C$15, $C$16, $C$17, BR$19, $C$18)</f>
        <v>10.441336209789586</v>
      </c>
      <c r="BS21" s="17" cm="1">
        <f t="array" ref="BS21">PriceCallEu($C$14, $C$15, $C$16, $C$17, BS$19, $C$18)</f>
        <v>10.468983952877764</v>
      </c>
      <c r="BT21" s="17" cm="1">
        <f t="array" ref="BT21">PriceCallEu($C$14, $C$15, $C$16, $C$17, BT$19, $C$18)</f>
        <v>10.442996864903705</v>
      </c>
      <c r="BU21" s="17" cm="1">
        <f t="array" ref="BU21">PriceCallEu($C$14, $C$15, $C$16, $C$17, BU$19, $C$18)</f>
        <v>10.467991094369294</v>
      </c>
      <c r="BV21" s="17" cm="1">
        <f t="array" ref="BV21">PriceCallEu($C$14, $C$15, $C$16, $C$17, BV$19, $C$18)</f>
        <v>10.44451710778201</v>
      </c>
      <c r="BW21" s="17" cm="1">
        <f t="array" ref="BW21">PriceCallEu($C$14, $C$15, $C$16, $C$17, BW$19, $C$18)</f>
        <v>10.467026182505009</v>
      </c>
      <c r="BX21" s="17" cm="1">
        <f t="array" ref="BX21">PriceCallEu($C$14, $C$15, $C$16, $C$17, BX$19, $C$18)</f>
        <v>10.445910002652584</v>
      </c>
      <c r="BY21" s="17" cm="1">
        <f t="array" ref="BY21">PriceCallEu($C$14, $C$15, $C$16, $C$17, BY$19, $C$18)</f>
        <v>10.466088022186048</v>
      </c>
      <c r="BZ21" s="17" cm="1">
        <f t="array" ref="BZ21">PriceCallEu($C$14, $C$15, $C$16, $C$17, BZ$19, $C$18)</f>
        <v>10.44718714800986</v>
      </c>
      <c r="CA21" s="17" cm="1">
        <f t="array" ref="CA21">PriceCallEu($C$14, $C$15, $C$16, $C$17, CA$19, $C$18)</f>
        <v>10.465175476370447</v>
      </c>
      <c r="CB21" s="17" cm="1">
        <f t="array" ref="CB21">PriceCallEu($C$14, $C$15, $C$16, $C$17, CB$19, $C$18)</f>
        <v>10.448358870765611</v>
      </c>
      <c r="CC21" s="17" cm="1">
        <f t="array" ref="CC21">PriceCallEu($C$14, $C$15, $C$16, $C$17, CC$19, $C$18)</f>
        <v>10.46428746443109</v>
      </c>
      <c r="CD21" s="17" cm="1">
        <f t="array" ref="CD21">PriceCallEu($C$14, $C$15, $C$16, $C$17, CD$19, $C$18)</f>
        <v>10.449434390793723</v>
      </c>
      <c r="CE21" s="17" cm="1">
        <f t="array" ref="CE21">PriceCallEu($C$14, $C$15, $C$16, $C$17, CE$19, $C$18)</f>
        <v>10.463422960140662</v>
      </c>
      <c r="CF21" s="17" cm="1">
        <f t="array" ref="CF21">PriceCallEu($C$14, $C$15, $C$16, $C$17, CF$19, $C$18)</f>
        <v>10.450421960959954</v>
      </c>
      <c r="CG21" s="17" cm="1">
        <f t="array" ref="CG21">PriceCallEu($C$14, $C$15, $C$16, $C$17, CG$19, $C$18)</f>
        <v>10.46258098942938</v>
      </c>
      <c r="CH21" s="17" cm="1">
        <f t="array" ref="CH21">PriceCallEu($C$14, $C$15, $C$16, $C$17, CH$19, $C$18)</f>
        <v>10.451328986753689</v>
      </c>
      <c r="CI21" s="17" cm="1">
        <f t="array" ref="CI21">PriceCallEu($C$14, $C$15, $C$16, $C$17, CI$19, $C$18)</f>
        <v>10.461760628011138</v>
      </c>
      <c r="CJ21" s="17" cm="1">
        <f t="array" ref="CJ21">PriceCallEu($C$14, $C$15, $C$16, $C$17, CJ$19, $C$18)</f>
        <v>10.45216212887575</v>
      </c>
      <c r="CK21" s="17" cm="1">
        <f t="array" ref="CK21">PriceCallEu($C$14, $C$15, $C$16, $C$17, CK$19, $C$18)</f>
        <v>10.460960998960569</v>
      </c>
      <c r="CL21" s="17" cm="1">
        <f t="array" ref="CL21">PriceCallEu($C$14, $C$15, $C$16, $C$17, CL$19, $C$18)</f>
        <v>10.452927391524129</v>
      </c>
      <c r="CM21" s="17" cm="1">
        <f t="array" ref="CM21">PriceCallEu($C$14, $C$15, $C$16, $C$17, CM$19, $C$18)</f>
        <v>10.460181270289926</v>
      </c>
      <c r="CN21" s="17" cm="1">
        <f t="array" ref="CN21">PriceCallEu($C$14, $C$15, $C$16, $C$17, CN$19, $C$18)</f>
        <v>10.4536301986222</v>
      </c>
      <c r="CO21" s="17" cm="1">
        <f t="array" ref="CO21">PriceCallEu($C$14, $C$15, $C$16, $C$17, CO$19, $C$18)</f>
        <v>10.459420652566285</v>
      </c>
      <c r="CP21" s="17" cm="1">
        <f t="array" ref="CP21">PriceCallEu($C$14, $C$15, $C$16, $C$17, CP$19, $C$18)</f>
        <v>10.454275459853855</v>
      </c>
      <c r="CQ21" s="17" cm="1">
        <f t="array" ref="CQ21">PriceCallEu($C$14, $C$15, $C$16, $C$17, CQ$19, $C$18)</f>
        <v>10.458678396593111</v>
      </c>
      <c r="CR21" s="17" cm="1">
        <f t="array" ref="CR21">PriceCallEu($C$14, $C$15, $C$16, $C$17, CR$19, $C$18)</f>
        <v>10.45486762804282</v>
      </c>
      <c r="CS21" s="17" cm="1">
        <f t="array" ref="CS21">PriceCallEu($C$14, $C$15, $C$16, $C$17, CS$19, $C$18)</f>
        <v>10.457953791176271</v>
      </c>
      <c r="CT21" s="17" cm="1">
        <f t="array" ref="CT21">PriceCallEu($C$14, $C$15, $C$16, $C$17, CT$19, $C$18)</f>
        <v>10.455410749157881</v>
      </c>
      <c r="CU21" s="17" cm="1">
        <f t="array" ref="CU21">PriceCallEu($C$14, $C$15, $C$16, $C$17, CU$19, $C$18)</f>
        <v>10.457246160986495</v>
      </c>
      <c r="CV21" s="17" cm="1">
        <f t="array" ref="CV21">PriceCallEu($C$14, $C$15, $C$16, $C$17, CV$19, $C$18)</f>
        <v>10.45590850601412</v>
      </c>
      <c r="CW21" s="17" cm="1">
        <f t="array" ref="CW21">PriceCallEu($C$14, $C$15, $C$16, $C$17, CW$19, $C$18)</f>
        <v>10.456554864518345</v>
      </c>
      <c r="CY21" s="18">
        <f xml:space="preserve"> C14 * _xlfn.NORM.S.DIST( CZ19, TRUE ) - C18 * EXP( -C15*C17 ) * _xlfn.NORM.S.DIST( CZ19-C16*SQRT(C17), TRUE )</f>
        <v>10.450583572185565</v>
      </c>
      <c r="CZ21" s="1"/>
    </row>
    <row r="22" spans="1:104" ht="20.350000000000001" customHeight="1" thickTop="1" thickBot="1" x14ac:dyDescent="0.5">
      <c r="A22" s="1"/>
      <c r="B22" s="1"/>
      <c r="C22" s="20"/>
      <c r="D22" s="1"/>
      <c r="E22" s="20"/>
      <c r="F22" s="20"/>
      <c r="G22" s="20"/>
      <c r="H22" s="20"/>
      <c r="I22" s="20"/>
      <c r="J22" s="20"/>
      <c r="K22" s="20"/>
      <c r="L22" s="20"/>
      <c r="M22" s="20"/>
      <c r="N22" s="20"/>
      <c r="O22" s="20"/>
      <c r="P22" s="1"/>
      <c r="CY22" s="20"/>
      <c r="CZ22" s="1"/>
    </row>
    <row r="23" spans="1:104" ht="20.350000000000001" customHeight="1" thickTop="1" thickBot="1" x14ac:dyDescent="0.5">
      <c r="A23" s="10" t="s">
        <v>12</v>
      </c>
      <c r="B23" s="5"/>
      <c r="C23" s="17" cm="1">
        <f t="array" ref="C23">PricePutEu($C$14, $C$15, $C$16, $C$17, C$19, $C$18)</f>
        <v>5.2180554500055818</v>
      </c>
      <c r="D23" s="17" cm="1">
        <f t="array" ref="D23">PricePutEu($C$14, $C$15, $C$16, $C$17, D$19, $C$18)</f>
        <v>6.0627297994669487</v>
      </c>
      <c r="E23" s="17" cm="1">
        <f t="array" ref="E23">PricePutEu($C$14, $C$15, $C$16, $C$17, E$19, $C$18)</f>
        <v>5.504441761080944</v>
      </c>
      <c r="F23" s="17" cm="1">
        <f t="array" ref="F23">PricePutEu($C$14, $C$15, $C$16, $C$17, F$19, $C$18)</f>
        <v>5.8322129810970971</v>
      </c>
      <c r="G23" s="17" cm="1">
        <f t="array" ref="G23">PricePutEu($C$14, $C$15, $C$16, $C$17, G$19, $C$18)</f>
        <v>5.5832165529665483</v>
      </c>
      <c r="H23" s="17" cm="1">
        <f t="array" ref="H23">PricePutEu($C$14, $C$15, $C$16, $C$17, H$19, $C$18)</f>
        <v>5.7331682748660349</v>
      </c>
      <c r="I23" s="17" cm="1">
        <f t="array" ref="I23">PricePutEu($C$14, $C$15, $C$16, $C$17, I$19, $C$18)</f>
        <v>5.6136780951584582</v>
      </c>
      <c r="J23" s="17" cm="1">
        <f t="array" ref="J23">PricePutEu($C$14, $C$15, $C$16, $C$17, J$19, $C$18)</f>
        <v>5.6782358346459407</v>
      </c>
      <c r="K23" s="17" cm="1">
        <f t="array" ref="K23">PricePutEu($C$14, $C$15, $C$16, $C$17, K$19, $C$18)</f>
        <v>5.6270239031261839</v>
      </c>
      <c r="L23" s="17" cm="1">
        <f t="array" ref="L23">PricePutEu($C$14, $C$15, $C$16, $C$17, L$19, $C$18)</f>
        <v>5.6433463130044323</v>
      </c>
      <c r="M23" s="17" cm="1">
        <f t="array" ref="M23">PricePutEu($C$14, $C$15, $C$16, $C$17, M$19, $C$18)</f>
        <v>5.6329128187587294</v>
      </c>
      <c r="N23" s="17" cm="1">
        <f t="array" ref="N23">PricePutEu($C$14, $C$15, $C$16, $C$17, N$19, $C$18)</f>
        <v>5.6192323937995381</v>
      </c>
      <c r="O23" s="17" cm="1">
        <f t="array" ref="O23">PricePutEu($C$14, $C$15, $C$16, $C$17, O$19, $C$18)</f>
        <v>5.6351369684726667</v>
      </c>
      <c r="P23" s="17" cm="1">
        <f t="array" ref="P23">PricePutEu($C$14, $C$15, $C$16, $C$17, P$19, $C$18)</f>
        <v>5.6015732980474695</v>
      </c>
      <c r="Q23" s="17" cm="1">
        <f t="array" ref="Q23">PricePutEu($C$14, $C$15, $C$16, $C$17, Q$19, $C$18)</f>
        <v>5.6354212837892304</v>
      </c>
      <c r="R23" s="17" cm="1">
        <f t="array" ref="R23">PricePutEu($C$14, $C$15, $C$16, $C$17, R$19, $C$18)</f>
        <v>5.5880846827758406</v>
      </c>
      <c r="S23" s="17" cm="1">
        <f t="array" ref="S23">PricePutEu($C$14, $C$15, $C$16, $C$17, S$19, $C$18)</f>
        <v>5.6346326896063266</v>
      </c>
      <c r="T23" s="17" cm="1">
        <f t="array" ref="T23">PricePutEu($C$14, $C$15, $C$16, $C$17, T$19, $C$18)</f>
        <v>5.5774458766331696</v>
      </c>
      <c r="U23" s="17" cm="1">
        <f t="array" ref="U23">PricePutEu($C$14, $C$15, $C$16, $C$17, U$19, $C$18)</f>
        <v>5.6332389758714383</v>
      </c>
      <c r="V23" s="17" cm="1">
        <f t="array" ref="V23">PricePutEu($C$14, $C$15, $C$16, $C$17, V$19, $C$18)</f>
        <v>5.5688403801146267</v>
      </c>
      <c r="W23" s="17" cm="1">
        <f t="array" ref="W23">PricePutEu($C$14, $C$15, $C$16, $C$17, W$19, $C$18)</f>
        <v>5.6315060075594667</v>
      </c>
      <c r="X23" s="17" cm="1">
        <f t="array" ref="X23">PricePutEu($C$14, $C$15, $C$16, $C$17, X$19, $C$18)</f>
        <v>5.5617363150049872</v>
      </c>
      <c r="Y23" s="17" cm="1">
        <f t="array" ref="Y23">PricePutEu($C$14, $C$15, $C$16, $C$17, Y$19, $C$18)</f>
        <v>5.6295907381946249</v>
      </c>
      <c r="Z23" s="17" cm="1">
        <f t="array" ref="Z23">PricePutEu($C$14, $C$15, $C$16, $C$17, Z$19, $C$18)</f>
        <v>5.555772380448678</v>
      </c>
      <c r="AA23" s="17" cm="1">
        <f t="array" ref="AA23">PricePutEu($C$14, $C$15, $C$16, $C$17, AA$19, $C$18)</f>
        <v>5.627588361283637</v>
      </c>
      <c r="AB23" s="17" cm="1">
        <f t="array" ref="AB23">PricePutEu($C$14, $C$15, $C$16, $C$17, AB$19, $C$18)</f>
        <v>5.5506945630370605</v>
      </c>
      <c r="AC23" s="17" cm="1">
        <f t="array" ref="AC23">PricePutEu($C$14, $C$15, $C$16, $C$17, AC$19, $C$18)</f>
        <v>5.6255576278939072</v>
      </c>
      <c r="AD23" s="17" cm="1">
        <f t="array" ref="AD23">PricePutEu($C$14, $C$15, $C$16, $C$17, AD$19, $C$18)</f>
        <v>5.5463190737141055</v>
      </c>
      <c r="AE23" s="17" cm="1">
        <f t="array" ref="AE23">PricePutEu($C$14, $C$15, $C$16, $C$17, AE$19, $C$18)</f>
        <v>5.6235350916773186</v>
      </c>
      <c r="AF23" s="17" cm="1">
        <f t="array" ref="AF23">PricePutEu($C$14, $C$15, $C$16, $C$17, AF$19, $C$18)</f>
        <v>5.5425096533589473</v>
      </c>
      <c r="AG23" s="17" cm="1">
        <f t="array" ref="AG23">PricePutEu($C$14, $C$15, $C$16, $C$17, AG$19, $C$18)</f>
        <v>5.6215434392863672</v>
      </c>
      <c r="AH23" s="17" cm="1">
        <f t="array" ref="AH23">PricePutEu($C$14, $C$15, $C$16, $C$17, AH$19, $C$18)</f>
        <v>5.5391631436265198</v>
      </c>
      <c r="AI23" s="17" cm="1">
        <f t="array" ref="AI23">PricePutEu($C$14, $C$15, $C$16, $C$17, AI$19, $C$18)</f>
        <v>5.6195965212490862</v>
      </c>
      <c r="AJ23" s="17" cm="1">
        <f t="array" ref="AJ23">PricePutEu($C$14, $C$15, $C$16, $C$17, AJ$19, $C$18)</f>
        <v>5.5362000126332118</v>
      </c>
      <c r="AK23" s="17" cm="1">
        <f t="array" ref="AK23">PricePutEu($C$14, $C$15, $C$16, $C$17, AK$19, $C$18)</f>
        <v>5.617702473301466</v>
      </c>
      <c r="AL23" s="17" cm="1">
        <f t="array" ref="AL23">PricePutEu($C$14, $C$15, $C$16, $C$17, AL$19, $C$18)</f>
        <v>5.5335579581771048</v>
      </c>
      <c r="AM23" s="17" cm="1">
        <f t="array" ref="AM23">PricePutEu($C$14, $C$15, $C$16, $C$17, AM$19, $C$18)</f>
        <v>5.6158656973899488</v>
      </c>
      <c r="AN23" s="17" cm="1">
        <f t="array" ref="AN23">PricePutEu($C$14, $C$15, $C$16, $C$17, AN$19, $C$18)</f>
        <v>5.531187482240064</v>
      </c>
      <c r="AO23" s="17" cm="1">
        <f t="array" ref="AO23">PricePutEu($C$14, $C$15, $C$16, $C$17, AO$19, $C$18)</f>
        <v>5.6140881430553282</v>
      </c>
      <c r="AP23" s="17" cm="1">
        <f t="array" ref="AP23">PricePutEu($C$14, $C$15, $C$16, $C$17, AP$19, $C$18)</f>
        <v>5.5290487627389329</v>
      </c>
      <c r="AQ23" s="17" cm="1">
        <f t="array" ref="AQ23">PricePutEu($C$14, $C$15, $C$16, $C$17, AQ$19, $C$18)</f>
        <v>5.612370149440693</v>
      </c>
      <c r="AR23" s="17" cm="1">
        <f t="array" ref="AR23">PricePutEu($C$14, $C$15, $C$16, $C$17, AR$19, $C$18)</f>
        <v>5.527109399592339</v>
      </c>
      <c r="AS23" s="17" cm="1">
        <f t="array" ref="AS23">PricePutEu($C$14, $C$15, $C$16, $C$17, AS$19, $C$18)</f>
        <v>5.6107110057055287</v>
      </c>
      <c r="AT23" s="17" cm="1">
        <f t="array" ref="AT23">PricePutEu($C$14, $C$15, $C$16, $C$17, AT$19, $C$18)</f>
        <v>5.5277671568572222</v>
      </c>
      <c r="AU23" s="17" cm="1">
        <f t="array" ref="AU23">PricePutEu($C$14, $C$15, $C$16, $C$17, AU$19, $C$18)</f>
        <v>5.6091093277676958</v>
      </c>
      <c r="AV23" s="17" cm="1">
        <f t="array" ref="AV23">PricePutEu($C$14, $C$15, $C$16, $C$17, AV$19, $C$18)</f>
        <v>5.5330724703501373</v>
      </c>
      <c r="AW23" s="17" cm="1">
        <f t="array" ref="AW23">PricePutEu($C$14, $C$15, $C$16, $C$17, AW$19, $C$18)</f>
        <v>5.6075633133962581</v>
      </c>
      <c r="AX23" s="17" cm="1">
        <f t="array" ref="AX23">PricePutEu($C$14, $C$15, $C$16, $C$17, AX$19, $C$18)</f>
        <v>5.5378160698502956</v>
      </c>
      <c r="AY23" s="17" cm="1">
        <f t="array" ref="AY23">PricePutEu($C$14, $C$15, $C$16, $C$17, AY$19, $C$18)</f>
        <v>5.6060709156749073</v>
      </c>
      <c r="AZ23" s="17" cm="1">
        <f t="array" ref="AZ23">PricePutEu($C$14, $C$15, $C$16, $C$17, AZ$19, $C$18)</f>
        <v>5.5420705833270132</v>
      </c>
      <c r="BA23" s="17" cm="1">
        <f t="array" ref="BA23">PricePutEu($C$14, $C$15, $C$16, $C$17, BA$19, $C$18)</f>
        <v>5.6046299610713399</v>
      </c>
      <c r="BB23" s="17" cm="1">
        <f t="array" ref="BB23">PricePutEu($C$14, $C$15, $C$16, $C$17, BB$19, $C$18)</f>
        <v>5.5458971628684521</v>
      </c>
      <c r="BC23" s="17" cm="1">
        <f t="array" ref="BC23">PricePutEu($C$14, $C$15, $C$16, $C$17, BC$19, $C$18)</f>
        <v>5.6032382295643357</v>
      </c>
      <c r="BD23" s="17" cm="1">
        <f t="array" ref="BD23">PricePutEu($C$14, $C$15, $C$16, $C$17, BD$19, $C$18)</f>
        <v>5.5493476227828564</v>
      </c>
      <c r="BE23" s="17" cm="1">
        <f t="array" ref="BE23">PricePutEu($C$14, $C$15, $C$16, $C$17, BE$19, $C$18)</f>
        <v>5.6018935085859605</v>
      </c>
      <c r="BF23" s="17" cm="1">
        <f t="array" ref="BF23">PricePutEu($C$14, $C$15, $C$16, $C$17, BF$19, $C$18)</f>
        <v>5.552466121623552</v>
      </c>
      <c r="BG23" s="17" cm="1">
        <f t="array" ref="BG23">PricePutEu($C$14, $C$15, $C$16, $C$17, BG$19, $C$18)</f>
        <v>5.6005936287924625</v>
      </c>
      <c r="BH23" s="17" cm="1">
        <f t="array" ref="BH23">PricePutEu($C$14, $C$15, $C$16, $C$17, BH$19, $C$18)</f>
        <v>5.5552904970601062</v>
      </c>
      <c r="BI23" s="17" cm="1">
        <f t="array" ref="BI23">PricePutEu($C$14, $C$15, $C$16, $C$17, BI$19, $C$18)</f>
        <v>5.5993364871709312</v>
      </c>
      <c r="BJ23" s="17" cm="1">
        <f t="array" ref="BJ23">PricePutEu($C$14, $C$15, $C$16, $C$17, BJ$19, $C$18)</f>
        <v>5.5578533338886622</v>
      </c>
      <c r="BK23" s="17" cm="1">
        <f t="array" ref="BK23">PricePutEu($C$14, $C$15, $C$16, $C$17, BK$19, $C$18)</f>
        <v>5.5981200613159086</v>
      </c>
      <c r="BL23" s="17" cm="1">
        <f t="array" ref="BL23">PricePutEu($C$14, $C$15, $C$16, $C$17, BL$19, $C$18)</f>
        <v>5.560182825005179</v>
      </c>
      <c r="BM23" s="17" cm="1">
        <f t="array" ref="BM23">PricePutEu($C$14, $C$15, $C$16, $C$17, BM$19, $C$18)</f>
        <v>5.5969424175437963</v>
      </c>
      <c r="BN23" s="17" cm="1">
        <f t="array" ref="BN23">PricePutEu($C$14, $C$15, $C$16, $C$17, BN$19, $C$18)</f>
        <v>5.5623034703909289</v>
      </c>
      <c r="BO23" s="17" cm="1">
        <f t="array" ref="BO23">PricePutEu($C$14, $C$15, $C$16, $C$17, BO$19, $C$18)</f>
        <v>5.5958017147320405</v>
      </c>
      <c r="BP23" s="17" cm="1">
        <f t="array" ref="BP23">PricePutEu($C$14, $C$15, $C$16, $C$17, BP$19, $C$18)</f>
        <v>5.5642366483346795</v>
      </c>
      <c r="BQ23" s="17" cm="1">
        <f t="array" ref="BQ23">PricePutEu($C$14, $C$15, $C$16, $C$17, BQ$19, $C$18)</f>
        <v>5.5946962052079821</v>
      </c>
      <c r="BR23" s="17" cm="1">
        <f t="array" ref="BR23">PricePutEu($C$14, $C$15, $C$16, $C$17, BR$19, $C$18)</f>
        <v>5.566001085134288</v>
      </c>
      <c r="BS23" s="17" cm="1">
        <f t="array" ref="BS23">PricePutEu($C$14, $C$15, $C$16, $C$17, BS$19, $C$18)</f>
        <v>5.5936242336378683</v>
      </c>
      <c r="BT23" s="17" cm="1">
        <f t="array" ref="BT23">PricePutEu($C$14, $C$15, $C$16, $C$17, BT$19, $C$18)</f>
        <v>5.5676132435655745</v>
      </c>
      <c r="BU23" s="17" cm="1">
        <f t="array" ref="BU23">PricePutEu($C$14, $C$15, $C$16, $C$17, BU$19, $C$18)</f>
        <v>5.5925842345789203</v>
      </c>
      <c r="BV23" s="17" cm="1">
        <f t="array" ref="BV23">PricePutEu($C$14, $C$15, $C$16, $C$17, BV$19, $C$18)</f>
        <v>5.5690876459232053</v>
      </c>
      <c r="BW23" s="17" cm="1">
        <f t="array" ref="BW23">PricePutEu($C$14, $C$15, $C$16, $C$17, BW$19, $C$18)</f>
        <v>5.5915747291754911</v>
      </c>
      <c r="BX23" s="17" cm="1">
        <f t="array" ref="BX23">PricePutEu($C$14, $C$15, $C$16, $C$17, BX$19, $C$18)</f>
        <v>5.5704371440354299</v>
      </c>
      <c r="BY23" s="17" cm="1">
        <f t="array" ref="BY23">PricePutEu($C$14, $C$15, $C$16, $C$17, BY$19, $C$18)</f>
        <v>5.5905943213368259</v>
      </c>
      <c r="BZ23" s="17" cm="1">
        <f t="array" ref="BZ23">PricePutEu($C$14, $C$15, $C$16, $C$17, BZ$19, $C$18)</f>
        <v>5.5716731460545628</v>
      </c>
      <c r="CA23" s="17" cm="1">
        <f t="array" ref="CA23">PricePutEu($C$14, $C$15, $C$16, $C$17, CA$19, $C$18)</f>
        <v>5.589641693633169</v>
      </c>
      <c r="CB23" s="17" cm="1">
        <f t="array" ref="CB23">PricePutEu($C$14, $C$15, $C$16, $C$17, CB$19, $C$18)</f>
        <v>5.5728058078172662</v>
      </c>
      <c r="CC23" s="17" cm="1">
        <f t="array" ref="CC23">PricePutEu($C$14, $C$15, $C$16, $C$17, CC$19, $C$18)</f>
        <v>5.588715603080658</v>
      </c>
      <c r="CD23" s="17" cm="1">
        <f t="array" ref="CD23">PricePutEu($C$14, $C$15, $C$16, $C$17, CD$19, $C$18)</f>
        <v>5.5738441950117181</v>
      </c>
      <c r="CE23" s="17" cm="1">
        <f t="array" ref="CE23">PricePutEu($C$14, $C$15, $C$16, $C$17, CE$19, $C$18)</f>
        <v>5.5878148769304525</v>
      </c>
      <c r="CF23" s="17" cm="1">
        <f t="array" ref="CF23">PricePutEu($C$14, $C$15, $C$16, $C$17, CF$19, $C$18)</f>
        <v>5.5747964211732493</v>
      </c>
      <c r="CG23" s="17" cm="1">
        <f t="array" ref="CG23">PricePutEu($C$14, $C$15, $C$16, $C$17, CG$19, $C$18)</f>
        <v>5.5869384085379306</v>
      </c>
      <c r="CH23" s="17" cm="1">
        <f t="array" ref="CH23">PricePutEu($C$14, $C$15, $C$16, $C$17, CH$19, $C$18)</f>
        <v>5.575669765569593</v>
      </c>
      <c r="CI23" s="17" cm="1">
        <f t="array" ref="CI23">PricePutEu($C$14, $C$15, $C$16, $C$17, CI$19, $C$18)</f>
        <v>5.586085153372113</v>
      </c>
      <c r="CJ23" s="17" cm="1">
        <f t="array" ref="CJ23">PricePutEu($C$14, $C$15, $C$16, $C$17, CJ$19, $C$18)</f>
        <v>5.5764707742832478</v>
      </c>
      <c r="CK23" s="17" cm="1">
        <f t="array" ref="CK23">PricePutEu($C$14, $C$15, $C$16, $C$17, CK$19, $C$18)</f>
        <v>5.585254125189187</v>
      </c>
      <c r="CL23" s="17" cm="1">
        <f t="array" ref="CL23">PricePutEu($C$14, $C$15, $C$16, $C$17, CL$19, $C$18)</f>
        <v>5.5772053471911036</v>
      </c>
      <c r="CM23" s="17" cm="1">
        <f t="array" ref="CM23">PricePutEu($C$14, $C$15, $C$16, $C$17, CM$19, $C$18)</f>
        <v>5.5844443923962306</v>
      </c>
      <c r="CN23" s="17" cm="1">
        <f t="array" ref="CN23">PricePutEu($C$14, $C$15, $C$16, $C$17, CN$19, $C$18)</f>
        <v>5.577878813063271</v>
      </c>
      <c r="CO23" s="17" cm="1">
        <f t="array" ref="CO23">PricePutEu($C$14, $C$15, $C$16, $C$17, CO$19, $C$18)</f>
        <v>5.5836550746136258</v>
      </c>
      <c r="CP23" s="17" cm="1">
        <f t="array" ref="CP23">PricePutEu($C$14, $C$15, $C$16, $C$17, CP$19, $C$18)</f>
        <v>5.5784959946132444</v>
      </c>
      <c r="CQ23" s="17" cm="1">
        <f t="array" ref="CQ23">PricePutEu($C$14, $C$15, $C$16, $C$17, CQ$19, $C$18)</f>
        <v>5.5828853394353679</v>
      </c>
      <c r="CR23" s="17" cm="1">
        <f t="array" ref="CR23">PricePutEu($C$14, $C$15, $C$16, $C$17, CR$19, $C$18)</f>
        <v>5.5790612650156035</v>
      </c>
      <c r="CS23" s="17" cm="1">
        <f t="array" ref="CS23">PricePutEu($C$14, $C$15, $C$16, $C$17, CS$19, $C$18)</f>
        <v>5.5821343993907879</v>
      </c>
      <c r="CT23" s="17" cm="1">
        <f t="array" ref="CT23">PricePutEu($C$14, $C$15, $C$16, $C$17, CT$19, $C$18)</f>
        <v>5.5795785971575356</v>
      </c>
      <c r="CU23" s="17" cm="1">
        <f t="array" ref="CU23">PricePutEu($C$14, $C$15, $C$16, $C$17, CU$19, $C$18)</f>
        <v>5.5814015090972005</v>
      </c>
      <c r="CV23" s="17" cm="1">
        <f t="array" ref="CV23">PricePutEu($C$14, $C$15, $C$16, $C$17, CV$19, $C$18)</f>
        <v>5.580051606675517</v>
      </c>
      <c r="CW23" s="17" cm="1">
        <f t="array" ref="CW23">PricePutEu($C$14, $C$15, $C$16, $C$17, CW$19, $C$18)</f>
        <v>5.5806859625999028</v>
      </c>
      <c r="CY23" s="18">
        <f xml:space="preserve"> C18 * EXP( -C15*C17 ) * _xlfn.NORM.S.DIST( CZ18, TRUE ) - C14 * _xlfn.NORM.S.DIST( CZ18-C16*SQRT(C17), TRUE )</f>
        <v>5.5735260222569707</v>
      </c>
      <c r="CZ23" s="1"/>
    </row>
    <row r="24" spans="1:104" ht="20.350000000000001" customHeight="1" thickTop="1" x14ac:dyDescent="0.45">
      <c r="A24" s="1"/>
      <c r="B24" s="1"/>
      <c r="C24" s="1"/>
      <c r="D24" s="1"/>
      <c r="E24" s="21"/>
      <c r="F24" s="1"/>
      <c r="G24" s="1"/>
      <c r="H24" s="1"/>
      <c r="I24" s="1"/>
      <c r="J24" s="1"/>
      <c r="K24" s="1"/>
      <c r="L24" s="1"/>
      <c r="M24" s="1"/>
      <c r="N24" s="1"/>
      <c r="O24" s="1"/>
      <c r="P24" s="1"/>
      <c r="Q24" s="1"/>
      <c r="R24" s="1"/>
    </row>
    <row r="40" spans="1:101" ht="20.350000000000001" customHeight="1" x14ac:dyDescent="0.45">
      <c r="AQ40" s="24"/>
    </row>
    <row r="41" spans="1:101" ht="20.350000000000001" customHeight="1" x14ac:dyDescent="0.45">
      <c r="AQ41" s="24"/>
    </row>
    <row r="42" spans="1:101" ht="20.350000000000001" customHeight="1" x14ac:dyDescent="0.45">
      <c r="AQ42" s="24"/>
    </row>
    <row r="43" spans="1:101" ht="20.350000000000001" customHeight="1" x14ac:dyDescent="0.45">
      <c r="AQ43" s="24"/>
    </row>
    <row r="44" spans="1:101" ht="20.350000000000001" customHeight="1" thickBot="1" x14ac:dyDescent="0.5">
      <c r="AQ44" s="24"/>
    </row>
    <row r="45" spans="1:101" ht="20.350000000000001" customHeight="1" thickTop="1" thickBot="1" x14ac:dyDescent="0.5">
      <c r="A45" s="23" t="s">
        <v>17</v>
      </c>
      <c r="B45" s="22"/>
      <c r="C45" s="25">
        <f>LOG(C$19)</f>
        <v>0.3010299956639812</v>
      </c>
      <c r="D45" s="25">
        <f t="shared" ref="D45:BO45" si="0">LOG(D$19)</f>
        <v>0.47712125471966244</v>
      </c>
      <c r="E45" s="25">
        <f t="shared" si="0"/>
        <v>0.6020599913279624</v>
      </c>
      <c r="F45" s="25">
        <f t="shared" si="0"/>
        <v>0.69897000433601886</v>
      </c>
      <c r="G45" s="25">
        <f t="shared" si="0"/>
        <v>0.77815125038364363</v>
      </c>
      <c r="H45" s="25">
        <f t="shared" si="0"/>
        <v>0.84509804001425681</v>
      </c>
      <c r="I45" s="25">
        <f t="shared" si="0"/>
        <v>0.90308998699194354</v>
      </c>
      <c r="J45" s="25">
        <f t="shared" si="0"/>
        <v>0.95424250943932487</v>
      </c>
      <c r="K45" s="25">
        <f t="shared" si="0"/>
        <v>1</v>
      </c>
      <c r="L45" s="25">
        <f t="shared" si="0"/>
        <v>1.0413926851582251</v>
      </c>
      <c r="M45" s="25">
        <f t="shared" si="0"/>
        <v>1.0791812460476249</v>
      </c>
      <c r="N45" s="25">
        <f t="shared" si="0"/>
        <v>1.1139433523068367</v>
      </c>
      <c r="O45" s="25">
        <f t="shared" si="0"/>
        <v>1.146128035678238</v>
      </c>
      <c r="P45" s="25">
        <f t="shared" si="0"/>
        <v>1.1760912590556813</v>
      </c>
      <c r="Q45" s="25">
        <f t="shared" si="0"/>
        <v>1.2041199826559248</v>
      </c>
      <c r="R45" s="25">
        <f t="shared" si="0"/>
        <v>1.2304489213782739</v>
      </c>
      <c r="S45" s="25">
        <f t="shared" si="0"/>
        <v>1.255272505103306</v>
      </c>
      <c r="T45" s="25">
        <f t="shared" si="0"/>
        <v>1.2787536009528289</v>
      </c>
      <c r="U45" s="25">
        <f t="shared" si="0"/>
        <v>1.3010299956639813</v>
      </c>
      <c r="V45" s="25">
        <f t="shared" si="0"/>
        <v>1.3222192947339193</v>
      </c>
      <c r="W45" s="25">
        <f t="shared" si="0"/>
        <v>1.3424226808222062</v>
      </c>
      <c r="X45" s="25">
        <f t="shared" si="0"/>
        <v>1.3617278360175928</v>
      </c>
      <c r="Y45" s="25">
        <f t="shared" si="0"/>
        <v>1.3802112417116059</v>
      </c>
      <c r="Z45" s="25">
        <f t="shared" si="0"/>
        <v>1.3979400086720377</v>
      </c>
      <c r="AA45" s="25">
        <f t="shared" si="0"/>
        <v>1.414973347970818</v>
      </c>
      <c r="AB45" s="25">
        <f t="shared" si="0"/>
        <v>1.4313637641589874</v>
      </c>
      <c r="AC45" s="25">
        <f t="shared" si="0"/>
        <v>1.4471580313422192</v>
      </c>
      <c r="AD45" s="25">
        <f t="shared" si="0"/>
        <v>1.4623979978989561</v>
      </c>
      <c r="AE45" s="25">
        <f t="shared" si="0"/>
        <v>1.4771212547196624</v>
      </c>
      <c r="AF45" s="25">
        <f t="shared" si="0"/>
        <v>1.4913616938342726</v>
      </c>
      <c r="AG45" s="25">
        <f t="shared" si="0"/>
        <v>1.505149978319906</v>
      </c>
      <c r="AH45" s="25">
        <f t="shared" si="0"/>
        <v>1.5185139398778875</v>
      </c>
      <c r="AI45" s="25">
        <f t="shared" si="0"/>
        <v>1.5314789170422551</v>
      </c>
      <c r="AJ45" s="25">
        <f t="shared" si="0"/>
        <v>1.5440680443502757</v>
      </c>
      <c r="AK45" s="25">
        <f t="shared" si="0"/>
        <v>1.5563025007672873</v>
      </c>
      <c r="AL45" s="25">
        <f t="shared" si="0"/>
        <v>1.568201724066995</v>
      </c>
      <c r="AM45" s="25">
        <f t="shared" si="0"/>
        <v>1.5797835966168101</v>
      </c>
      <c r="AN45" s="25">
        <f t="shared" si="0"/>
        <v>1.5910646070264991</v>
      </c>
      <c r="AO45" s="25">
        <f t="shared" si="0"/>
        <v>1.6020599913279623</v>
      </c>
      <c r="AP45" s="25">
        <f t="shared" si="0"/>
        <v>1.6127838567197355</v>
      </c>
      <c r="AQ45" s="25">
        <f t="shared" si="0"/>
        <v>1.6232492903979006</v>
      </c>
      <c r="AR45" s="25">
        <f t="shared" si="0"/>
        <v>1.6334684555795864</v>
      </c>
      <c r="AS45" s="25">
        <f t="shared" si="0"/>
        <v>1.6434526764861874</v>
      </c>
      <c r="AT45" s="25">
        <f t="shared" si="0"/>
        <v>1.6532125137753437</v>
      </c>
      <c r="AU45" s="25">
        <f t="shared" si="0"/>
        <v>1.6627578316815741</v>
      </c>
      <c r="AV45" s="25">
        <f t="shared" si="0"/>
        <v>1.6720978579357175</v>
      </c>
      <c r="AW45" s="25">
        <f t="shared" si="0"/>
        <v>1.6812412373755872</v>
      </c>
      <c r="AX45" s="25">
        <f t="shared" si="0"/>
        <v>1.6901960800285136</v>
      </c>
      <c r="AY45" s="25">
        <f t="shared" si="0"/>
        <v>1.6989700043360187</v>
      </c>
      <c r="AZ45" s="25">
        <f t="shared" si="0"/>
        <v>1.7075701760979363</v>
      </c>
      <c r="BA45" s="25">
        <f t="shared" si="0"/>
        <v>1.7160033436347992</v>
      </c>
      <c r="BB45" s="25">
        <f t="shared" si="0"/>
        <v>1.7242758696007889</v>
      </c>
      <c r="BC45" s="25">
        <f t="shared" si="0"/>
        <v>1.7323937598229686</v>
      </c>
      <c r="BD45" s="25">
        <f t="shared" si="0"/>
        <v>1.7403626894942439</v>
      </c>
      <c r="BE45" s="25">
        <f t="shared" si="0"/>
        <v>1.7481880270062005</v>
      </c>
      <c r="BF45" s="25">
        <f t="shared" si="0"/>
        <v>1.7558748556724915</v>
      </c>
      <c r="BG45" s="25">
        <f t="shared" si="0"/>
        <v>1.7634279935629373</v>
      </c>
      <c r="BH45" s="25">
        <f t="shared" si="0"/>
        <v>1.7708520116421442</v>
      </c>
      <c r="BI45" s="25">
        <f t="shared" si="0"/>
        <v>1.7781512503836436</v>
      </c>
      <c r="BJ45" s="25">
        <f t="shared" si="0"/>
        <v>1.7853298350107671</v>
      </c>
      <c r="BK45" s="25">
        <f t="shared" si="0"/>
        <v>1.7923916894982539</v>
      </c>
      <c r="BL45" s="25">
        <f t="shared" si="0"/>
        <v>1.7993405494535817</v>
      </c>
      <c r="BM45" s="25">
        <f t="shared" si="0"/>
        <v>1.8061799739838871</v>
      </c>
      <c r="BN45" s="25">
        <f t="shared" si="0"/>
        <v>1.8129133566428555</v>
      </c>
      <c r="BO45" s="25">
        <f t="shared" si="0"/>
        <v>1.8195439355418688</v>
      </c>
      <c r="BP45" s="25">
        <f t="shared" ref="BP45:CW45" si="1">LOG(BP$19)</f>
        <v>1.8260748027008264</v>
      </c>
      <c r="BQ45" s="25">
        <f t="shared" si="1"/>
        <v>1.8325089127062364</v>
      </c>
      <c r="BR45" s="25">
        <f t="shared" si="1"/>
        <v>1.8388490907372552</v>
      </c>
      <c r="BS45" s="25">
        <f t="shared" si="1"/>
        <v>1.8450980400142569</v>
      </c>
      <c r="BT45" s="25">
        <f t="shared" si="1"/>
        <v>1.8512583487190752</v>
      </c>
      <c r="BU45" s="25">
        <f t="shared" si="1"/>
        <v>1.8573324964312685</v>
      </c>
      <c r="BV45" s="25">
        <f t="shared" si="1"/>
        <v>1.8633228601204559</v>
      </c>
      <c r="BW45" s="25">
        <f t="shared" si="1"/>
        <v>1.8692317197309762</v>
      </c>
      <c r="BX45" s="25">
        <f t="shared" si="1"/>
        <v>1.8750612633917001</v>
      </c>
      <c r="BY45" s="25">
        <f t="shared" si="1"/>
        <v>1.8808135922807914</v>
      </c>
      <c r="BZ45" s="25">
        <f t="shared" si="1"/>
        <v>1.8864907251724818</v>
      </c>
      <c r="CA45" s="25">
        <f t="shared" si="1"/>
        <v>1.8920946026904804</v>
      </c>
      <c r="CB45" s="25">
        <f t="shared" si="1"/>
        <v>1.8976270912904414</v>
      </c>
      <c r="CC45" s="25">
        <f t="shared" si="1"/>
        <v>1.9030899869919435</v>
      </c>
      <c r="CD45" s="25">
        <f t="shared" si="1"/>
        <v>1.9084850188786497</v>
      </c>
      <c r="CE45" s="25">
        <f t="shared" si="1"/>
        <v>1.9138138523837167</v>
      </c>
      <c r="CF45" s="25">
        <f t="shared" si="1"/>
        <v>1.919078092376074</v>
      </c>
      <c r="CG45" s="25">
        <f t="shared" si="1"/>
        <v>1.9242792860618816</v>
      </c>
      <c r="CH45" s="25">
        <f t="shared" si="1"/>
        <v>1.9294189257142926</v>
      </c>
      <c r="CI45" s="25">
        <f t="shared" si="1"/>
        <v>1.9344984512435677</v>
      </c>
      <c r="CJ45" s="25">
        <f t="shared" si="1"/>
        <v>1.9395192526186185</v>
      </c>
      <c r="CK45" s="25">
        <f t="shared" si="1"/>
        <v>1.9444826721501687</v>
      </c>
      <c r="CL45" s="25">
        <f t="shared" si="1"/>
        <v>1.9493900066449128</v>
      </c>
      <c r="CM45" s="25">
        <f t="shared" si="1"/>
        <v>1.954242509439325</v>
      </c>
      <c r="CN45" s="25">
        <f t="shared" si="1"/>
        <v>1.9590413923210936</v>
      </c>
      <c r="CO45" s="25">
        <f t="shared" si="1"/>
        <v>1.9637878273455553</v>
      </c>
      <c r="CP45" s="25">
        <f t="shared" si="1"/>
        <v>1.968482948553935</v>
      </c>
      <c r="CQ45" s="25">
        <f t="shared" si="1"/>
        <v>1.9731278535996986</v>
      </c>
      <c r="CR45" s="25">
        <f t="shared" si="1"/>
        <v>1.9777236052888478</v>
      </c>
      <c r="CS45" s="25">
        <f t="shared" si="1"/>
        <v>1.9822712330395684</v>
      </c>
      <c r="CT45" s="25">
        <f t="shared" si="1"/>
        <v>1.9867717342662448</v>
      </c>
      <c r="CU45" s="25">
        <f t="shared" si="1"/>
        <v>1.9912260756924949</v>
      </c>
      <c r="CV45" s="25">
        <f t="shared" si="1"/>
        <v>1.9956351945975499</v>
      </c>
      <c r="CW45" s="25">
        <f t="shared" si="1"/>
        <v>2</v>
      </c>
    </row>
    <row r="46" spans="1:101" ht="20.350000000000001" customHeight="1" thickTop="1" thickBot="1" x14ac:dyDescent="0.5">
      <c r="AQ46" s="24"/>
    </row>
    <row r="47" spans="1:101" ht="20.350000000000001" customHeight="1" thickTop="1" thickBot="1" x14ac:dyDescent="0.5">
      <c r="A47" s="27" t="s">
        <v>18</v>
      </c>
      <c r="B47" s="20"/>
      <c r="C47" s="26">
        <f>LOG(ABS(C21-$CY21))</f>
        <v>-0.38303350007297976</v>
      </c>
      <c r="D47" s="26">
        <f t="shared" ref="D47:BO47" si="2">LOG(ABS(D21-$CY21))</f>
        <v>-0.34679125845832098</v>
      </c>
      <c r="E47" s="26">
        <f t="shared" si="2"/>
        <v>-1.0062581830175319</v>
      </c>
      <c r="F47" s="26">
        <f t="shared" si="2"/>
        <v>-0.628820070509856</v>
      </c>
      <c r="G47" s="26">
        <f t="shared" si="2"/>
        <v>-1.9991592288273088</v>
      </c>
      <c r="H47" s="26">
        <f t="shared" si="2"/>
        <v>-0.84546962256751035</v>
      </c>
      <c r="I47" s="26">
        <f t="shared" si="2"/>
        <v>-1.5960288604227888</v>
      </c>
      <c r="J47" s="26">
        <f t="shared" si="2"/>
        <v>-1.0383601030971399</v>
      </c>
      <c r="K47" s="26">
        <f t="shared" si="2"/>
        <v>-1.3804239799709219</v>
      </c>
      <c r="L47" s="26">
        <f t="shared" si="2"/>
        <v>-1.2288323228095843</v>
      </c>
      <c r="M47" s="26">
        <f t="shared" si="2"/>
        <v>-1.3053502184434598</v>
      </c>
      <c r="N47" s="26">
        <f t="shared" si="2"/>
        <v>-1.4367220811032357</v>
      </c>
      <c r="O47" s="26">
        <f t="shared" si="2"/>
        <v>-1.2745979283374114</v>
      </c>
      <c r="P47" s="26">
        <f t="shared" si="2"/>
        <v>-1.6959921492410392</v>
      </c>
      <c r="Q47" s="26">
        <f t="shared" si="2"/>
        <v>-1.2637713621644822</v>
      </c>
      <c r="R47" s="26">
        <f t="shared" si="2"/>
        <v>-2.1204594649405952</v>
      </c>
      <c r="S47" s="26">
        <f t="shared" si="2"/>
        <v>-1.263500821990359</v>
      </c>
      <c r="T47" s="26">
        <f t="shared" si="2"/>
        <v>-2.6331137424349387</v>
      </c>
      <c r="U47" s="26">
        <f t="shared" si="2"/>
        <v>-1.2693995958892423</v>
      </c>
      <c r="V47" s="26">
        <f t="shared" si="2"/>
        <v>-1.9855248829168284</v>
      </c>
      <c r="W47" s="26">
        <f t="shared" si="2"/>
        <v>-1.2791522066511163</v>
      </c>
      <c r="X47" s="26">
        <f t="shared" si="2"/>
        <v>-1.7707766915972742</v>
      </c>
      <c r="Y47" s="26">
        <f t="shared" si="2"/>
        <v>-1.2914334731230919</v>
      </c>
      <c r="Z47" s="26">
        <f t="shared" si="2"/>
        <v>-1.6477484733912771</v>
      </c>
      <c r="AA47" s="26">
        <f t="shared" si="2"/>
        <v>-1.3054398503278859</v>
      </c>
      <c r="AB47" s="26">
        <f t="shared" si="2"/>
        <v>-1.5649528125739729</v>
      </c>
      <c r="AC47" s="26">
        <f t="shared" si="2"/>
        <v>-1.320662971222518</v>
      </c>
      <c r="AD47" s="26">
        <f t="shared" si="2"/>
        <v>-1.5044215746970622</v>
      </c>
      <c r="AE47" s="26">
        <f t="shared" si="2"/>
        <v>-1.3367710309391738</v>
      </c>
      <c r="AF47" s="26">
        <f t="shared" si="2"/>
        <v>-1.4578230235145766</v>
      </c>
      <c r="AG47" s="26">
        <f t="shared" si="2"/>
        <v>-1.3535426451582071</v>
      </c>
      <c r="AH47" s="26">
        <f t="shared" si="2"/>
        <v>-1.4206457317481449</v>
      </c>
      <c r="AI47" s="26">
        <f t="shared" si="2"/>
        <v>-1.3708280775353148</v>
      </c>
      <c r="AJ47" s="26">
        <f t="shared" si="2"/>
        <v>-1.3901913123058394</v>
      </c>
      <c r="AK47" s="26">
        <f t="shared" si="2"/>
        <v>-1.38852556515689</v>
      </c>
      <c r="AL47" s="26">
        <f t="shared" si="2"/>
        <v>-1.3647290395125227</v>
      </c>
      <c r="AM47" s="26">
        <f t="shared" si="2"/>
        <v>-1.4065663680771066</v>
      </c>
      <c r="AN47" s="26">
        <f t="shared" si="2"/>
        <v>-1.3430895957512923</v>
      </c>
      <c r="AO47" s="26">
        <f t="shared" si="2"/>
        <v>-1.4249050610961935</v>
      </c>
      <c r="AP47" s="26">
        <f t="shared" si="2"/>
        <v>-1.3244504312190357</v>
      </c>
      <c r="AQ47" s="26">
        <f t="shared" si="2"/>
        <v>-1.4435130836304542</v>
      </c>
      <c r="AR47" s="26">
        <f t="shared" si="2"/>
        <v>-1.3082139225038794</v>
      </c>
      <c r="AS47" s="26">
        <f t="shared" si="2"/>
        <v>-1.462374375255606</v>
      </c>
      <c r="AT47" s="26">
        <f t="shared" si="2"/>
        <v>-1.3151613648665115</v>
      </c>
      <c r="AU47" s="26">
        <f t="shared" si="2"/>
        <v>-1.4814823826151662</v>
      </c>
      <c r="AV47" s="26">
        <f t="shared" si="2"/>
        <v>-1.3667168338546485</v>
      </c>
      <c r="AW47" s="26">
        <f t="shared" si="2"/>
        <v>-1.5008379905377802</v>
      </c>
      <c r="AX47" s="26">
        <f t="shared" si="2"/>
        <v>-1.4186769382560249</v>
      </c>
      <c r="AY47" s="26">
        <f t="shared" si="2"/>
        <v>-1.5204480913355598</v>
      </c>
      <c r="AZ47" s="26">
        <f t="shared" si="2"/>
        <v>-1.471271070751228</v>
      </c>
      <c r="BA47" s="26">
        <f t="shared" si="2"/>
        <v>-1.5403246058849773</v>
      </c>
      <c r="BB47" s="26">
        <f t="shared" si="2"/>
        <v>-1.5247510894376783</v>
      </c>
      <c r="BC47" s="26">
        <f t="shared" si="2"/>
        <v>-1.5604838333116788</v>
      </c>
      <c r="BD47" s="26">
        <f t="shared" si="2"/>
        <v>-1.5794007222248283</v>
      </c>
      <c r="BE47" s="26">
        <f t="shared" si="2"/>
        <v>-1.5809460475489421</v>
      </c>
      <c r="BF47" s="26">
        <f t="shared" si="2"/>
        <v>-1.6355478094989739</v>
      </c>
      <c r="BG47" s="26">
        <f t="shared" si="2"/>
        <v>-1.6017352866906658</v>
      </c>
      <c r="BH47" s="26">
        <f t="shared" si="2"/>
        <v>-1.6935808654911688</v>
      </c>
      <c r="BI47" s="26">
        <f t="shared" si="2"/>
        <v>-1.6228793001085684</v>
      </c>
      <c r="BJ47" s="26">
        <f t="shared" si="2"/>
        <v>-1.7539722970088119</v>
      </c>
      <c r="BK47" s="26">
        <f t="shared" si="2"/>
        <v>-1.6444096324257422</v>
      </c>
      <c r="BL47" s="26">
        <f t="shared" si="2"/>
        <v>-1.8173121328501134</v>
      </c>
      <c r="BM47" s="26">
        <f t="shared" si="2"/>
        <v>-1.6663618337318624</v>
      </c>
      <c r="BN47" s="26">
        <f t="shared" si="2"/>
        <v>-1.8843588978585704</v>
      </c>
      <c r="BO47" s="26">
        <f t="shared" si="2"/>
        <v>-1.6887757943201369</v>
      </c>
      <c r="BP47" s="26">
        <f t="shared" ref="BP47:CW47" si="3">LOG(ABS(BP21-$CY21))</f>
        <v>-1.9561196371720959</v>
      </c>
      <c r="BQ47" s="26">
        <f t="shared" si="3"/>
        <v>-1.7116962099279138</v>
      </c>
      <c r="BR47" s="26">
        <f t="shared" si="3"/>
        <v>-2.0339821224199133</v>
      </c>
      <c r="BS47" s="26">
        <f t="shared" si="3"/>
        <v>-1.7351731916202933</v>
      </c>
      <c r="BT47" s="26">
        <f t="shared" si="3"/>
        <v>-2.1199466720088918</v>
      </c>
      <c r="BU47" s="26">
        <f t="shared" si="3"/>
        <v>-1.7592630426975386</v>
      </c>
      <c r="BV47" s="26">
        <f t="shared" si="3"/>
        <v>-2.2170643463858908</v>
      </c>
      <c r="BW47" s="26">
        <f t="shared" si="3"/>
        <v>-1.7840292356195218</v>
      </c>
      <c r="BX47" s="26">
        <f t="shared" si="3"/>
        <v>-2.3303512915287965</v>
      </c>
      <c r="BY47" s="26">
        <f t="shared" si="3"/>
        <v>-1.8095436351662133</v>
      </c>
      <c r="BZ47" s="26">
        <f t="shared" si="3"/>
        <v>-2.4689780764775238</v>
      </c>
      <c r="CA47" s="26">
        <f t="shared" si="3"/>
        <v>-1.8358880307229861</v>
      </c>
      <c r="CB47" s="26">
        <f t="shared" si="3"/>
        <v>-2.6527282679945228</v>
      </c>
      <c r="CC47" s="26">
        <f t="shared" si="3"/>
        <v>-1.8631560649110412</v>
      </c>
      <c r="CD47" s="26">
        <f t="shared" si="3"/>
        <v>-2.9396114149510946</v>
      </c>
      <c r="CE47" s="26">
        <f t="shared" si="3"/>
        <v>-1.8914556782967133</v>
      </c>
      <c r="CF47" s="26">
        <f t="shared" si="3"/>
        <v>-3.7915284761633217</v>
      </c>
      <c r="CG47" s="26">
        <f t="shared" si="3"/>
        <v>-1.9209122370761589</v>
      </c>
      <c r="CH47" s="26">
        <f t="shared" si="3"/>
        <v>-3.1276021237983582</v>
      </c>
      <c r="CI47" s="26">
        <f t="shared" si="3"/>
        <v>-1.9516725799108672</v>
      </c>
      <c r="CJ47" s="26">
        <f t="shared" si="3"/>
        <v>-2.8017398168172001</v>
      </c>
      <c r="CK47" s="26">
        <f t="shared" si="3"/>
        <v>-1.9839103223988355</v>
      </c>
      <c r="CL47" s="26">
        <f t="shared" si="3"/>
        <v>-2.6300758667530073</v>
      </c>
      <c r="CM47" s="26">
        <f t="shared" si="3"/>
        <v>-2.01783291492371</v>
      </c>
      <c r="CN47" s="26">
        <f t="shared" si="3"/>
        <v>-2.5161807937109848</v>
      </c>
      <c r="CO47" s="26">
        <f t="shared" si="3"/>
        <v>-2.0536911947129179</v>
      </c>
      <c r="CP47" s="26">
        <f t="shared" si="3"/>
        <v>-2.4327515215636879</v>
      </c>
      <c r="CQ47" s="26">
        <f t="shared" si="3"/>
        <v>-2.0917925674987132</v>
      </c>
      <c r="CR47" s="26">
        <f t="shared" si="3"/>
        <v>-2.368144875295954</v>
      </c>
      <c r="CS47" s="26">
        <f t="shared" si="3"/>
        <v>-2.1325196077932702</v>
      </c>
      <c r="CT47" s="26">
        <f t="shared" si="3"/>
        <v>-2.316306778933201</v>
      </c>
      <c r="CU47" s="26">
        <f t="shared" si="3"/>
        <v>-2.1763569895230512</v>
      </c>
      <c r="CV47" s="26">
        <f t="shared" si="3"/>
        <v>-2.2736857847101968</v>
      </c>
      <c r="CW47" s="26">
        <f t="shared" si="3"/>
        <v>-2.2239316668175797</v>
      </c>
    </row>
    <row r="48" spans="1:101" ht="20.350000000000001" customHeight="1" thickTop="1" thickBot="1" x14ac:dyDescent="0.5">
      <c r="A48" s="20"/>
      <c r="B48" s="20"/>
      <c r="C48" s="20"/>
      <c r="D48" s="20"/>
      <c r="E48" s="20"/>
      <c r="F48" s="20"/>
      <c r="G48" s="20"/>
      <c r="H48" s="20"/>
      <c r="I48" s="20"/>
      <c r="J48" s="20"/>
      <c r="K48" s="20"/>
      <c r="L48" s="20"/>
      <c r="M48" s="20"/>
      <c r="N48" s="20"/>
      <c r="O48" s="20"/>
      <c r="AQ48" s="24"/>
    </row>
    <row r="49" spans="1:101" ht="20.350000000000001" customHeight="1" thickTop="1" thickBot="1" x14ac:dyDescent="0.5">
      <c r="A49" s="27" t="s">
        <v>22</v>
      </c>
      <c r="B49" s="20"/>
      <c r="C49" s="26">
        <f>LOG(ABS(C$23-$CY$23))</f>
        <v>-0.44919634665807728</v>
      </c>
      <c r="D49" s="26">
        <f t="shared" ref="D49:BO49" si="4">LOG(ABS(D$23-$CY$23))</f>
        <v>-0.31051019837508687</v>
      </c>
      <c r="E49" s="26">
        <f t="shared" si="4"/>
        <v>-1.1606208826251319</v>
      </c>
      <c r="F49" s="26">
        <f t="shared" si="4"/>
        <v>-0.58722546477603565</v>
      </c>
      <c r="G49" s="26">
        <f t="shared" si="4"/>
        <v>-2.0136524378171807</v>
      </c>
      <c r="H49" s="26">
        <f t="shared" si="4"/>
        <v>-0.79685215279490251</v>
      </c>
      <c r="I49" s="26">
        <f t="shared" si="4"/>
        <v>-1.3962920288052534</v>
      </c>
      <c r="J49" s="26">
        <f t="shared" si="4"/>
        <v>-0.9800126185436403</v>
      </c>
      <c r="K49" s="26">
        <f t="shared" si="4"/>
        <v>-1.2716634206896993</v>
      </c>
      <c r="L49" s="26">
        <f t="shared" si="4"/>
        <v>-1.1560183470177536</v>
      </c>
      <c r="M49" s="26">
        <f t="shared" si="4"/>
        <v>-1.2263101012111528</v>
      </c>
      <c r="N49" s="26">
        <f t="shared" si="4"/>
        <v>-1.3400232543525052</v>
      </c>
      <c r="O49" s="26">
        <f t="shared" si="4"/>
        <v>-1.210342121297487</v>
      </c>
      <c r="P49" s="26">
        <f t="shared" si="4"/>
        <v>-1.5521093150356016</v>
      </c>
      <c r="Q49" s="26">
        <f t="shared" si="4"/>
        <v>-1.2083425976545583</v>
      </c>
      <c r="R49" s="26">
        <f t="shared" si="4"/>
        <v>-1.836878580793849</v>
      </c>
      <c r="S49" s="26">
        <f t="shared" si="4"/>
        <v>-1.2139114012949361</v>
      </c>
      <c r="T49" s="26">
        <f t="shared" si="4"/>
        <v>-2.4067300668540312</v>
      </c>
      <c r="U49" s="26">
        <f t="shared" si="4"/>
        <v>-1.2239314465415492</v>
      </c>
      <c r="V49" s="26">
        <f t="shared" si="4"/>
        <v>-2.3292308829477513</v>
      </c>
      <c r="W49" s="26">
        <f t="shared" si="4"/>
        <v>-1.2367218990714952</v>
      </c>
      <c r="X49" s="26">
        <f t="shared" si="4"/>
        <v>-1.9284969786561097</v>
      </c>
      <c r="Y49" s="26">
        <f t="shared" si="4"/>
        <v>-1.2513103739400104</v>
      </c>
      <c r="Z49" s="26">
        <f t="shared" si="4"/>
        <v>-1.7507125465516584</v>
      </c>
      <c r="AA49" s="26">
        <f t="shared" si="4"/>
        <v>-1.2671051683228491</v>
      </c>
      <c r="AB49" s="26">
        <f t="shared" si="4"/>
        <v>-1.6414663306953672</v>
      </c>
      <c r="AC49" s="26">
        <f t="shared" si="4"/>
        <v>-1.2837327720570266</v>
      </c>
      <c r="AD49" s="26">
        <f t="shared" si="4"/>
        <v>-1.5653201647733395</v>
      </c>
      <c r="AE49" s="26">
        <f t="shared" si="4"/>
        <v>-1.3009512268234196</v>
      </c>
      <c r="AF49" s="26">
        <f t="shared" si="4"/>
        <v>-1.5084090466209392</v>
      </c>
      <c r="AG49" s="26">
        <f t="shared" si="4"/>
        <v>-1.318601205379591</v>
      </c>
      <c r="AH49" s="26">
        <f t="shared" si="4"/>
        <v>-1.4639104618095287</v>
      </c>
      <c r="AI49" s="26">
        <f t="shared" si="4"/>
        <v>-1.3365770838543605</v>
      </c>
      <c r="AJ49" s="26">
        <f t="shared" si="4"/>
        <v>-1.427988436299598</v>
      </c>
      <c r="AK49" s="26">
        <f t="shared" si="4"/>
        <v>-1.3548091765067092</v>
      </c>
      <c r="AL49" s="26">
        <f t="shared" si="4"/>
        <v>-1.3982868870111769</v>
      </c>
      <c r="AM49" s="26">
        <f t="shared" si="4"/>
        <v>-1.373252478590963</v>
      </c>
      <c r="AN49" s="26">
        <f t="shared" si="4"/>
        <v>-1.3732641220731803</v>
      </c>
      <c r="AO49" s="26">
        <f t="shared" si="4"/>
        <v>-1.3918793459098087</v>
      </c>
      <c r="AP49" s="26">
        <f t="shared" si="4"/>
        <v>-1.3518619798086369</v>
      </c>
      <c r="AQ49" s="26">
        <f t="shared" si="4"/>
        <v>-1.4106746325773387</v>
      </c>
      <c r="AR49" s="26">
        <f t="shared" si="4"/>
        <v>-1.3333264625762311</v>
      </c>
      <c r="AS49" s="26">
        <f t="shared" si="4"/>
        <v>-1.4296324074856681</v>
      </c>
      <c r="AT49" s="26">
        <f t="shared" si="4"/>
        <v>-1.3395247525003746</v>
      </c>
      <c r="AU49" s="26">
        <f t="shared" si="4"/>
        <v>-1.4487537105975881</v>
      </c>
      <c r="AV49" s="26">
        <f t="shared" si="4"/>
        <v>-1.3930433404097953</v>
      </c>
      <c r="AW49" s="26">
        <f t="shared" si="4"/>
        <v>-1.4680450105754679</v>
      </c>
      <c r="AX49" s="26">
        <f t="shared" si="4"/>
        <v>-1.4472107286235767</v>
      </c>
      <c r="AY49" s="26">
        <f t="shared" si="4"/>
        <v>-1.4875171464013355</v>
      </c>
      <c r="AZ49" s="26">
        <f t="shared" si="4"/>
        <v>-1.5023042502809623</v>
      </c>
      <c r="BA49" s="26">
        <f t="shared" si="4"/>
        <v>-1.5071846110686327</v>
      </c>
      <c r="BB49" s="26">
        <f t="shared" si="4"/>
        <v>-1.5586370438383685</v>
      </c>
      <c r="BC49" s="26">
        <f t="shared" si="4"/>
        <v>-1.5270650834437336</v>
      </c>
      <c r="BD49" s="26">
        <f t="shared" si="4"/>
        <v>-1.616572451306777</v>
      </c>
      <c r="BE49" s="26">
        <f t="shared" si="4"/>
        <v>-1.5471791457626518</v>
      </c>
      <c r="BF49" s="26">
        <f t="shared" si="4"/>
        <v>-1.6765436822701791</v>
      </c>
      <c r="BG49" s="26">
        <f t="shared" si="4"/>
        <v>-1.5675501452041856</v>
      </c>
      <c r="BH49" s="26">
        <f t="shared" si="4"/>
        <v>-1.7390817241617971</v>
      </c>
      <c r="BI49" s="26">
        <f t="shared" si="4"/>
        <v>-1.588204172606493</v>
      </c>
      <c r="BJ49" s="26">
        <f t="shared" si="4"/>
        <v>-1.8048565017202798</v>
      </c>
      <c r="BK49" s="26">
        <f t="shared" si="4"/>
        <v>-1.6091701415760311</v>
      </c>
      <c r="BL49" s="26">
        <f t="shared" si="4"/>
        <v>-1.8747400937749867</v>
      </c>
      <c r="BM49" s="26">
        <f t="shared" si="4"/>
        <v>-1.6304799592863353</v>
      </c>
      <c r="BN49" s="26">
        <f t="shared" si="4"/>
        <v>-1.949908378790314</v>
      </c>
      <c r="BO49" s="26">
        <f t="shared" si="4"/>
        <v>-1.652168786351597</v>
      </c>
      <c r="BP49" s="26">
        <f t="shared" ref="BP49:CW49" si="5">LOG(ABS(BP$23-$CY$23))</f>
        <v>-2.0320135552481959</v>
      </c>
      <c r="BQ49" s="26">
        <f t="shared" si="5"/>
        <v>-1.6742753888265316</v>
      </c>
      <c r="BR49" s="26">
        <f t="shared" si="5"/>
        <v>-2.1234971246226304</v>
      </c>
      <c r="BS49" s="26">
        <f t="shared" si="5"/>
        <v>-1.6968425904387177</v>
      </c>
      <c r="BT49" s="26">
        <f t="shared" si="5"/>
        <v>-2.2282083758468474</v>
      </c>
      <c r="BU49" s="26">
        <f t="shared" si="5"/>
        <v>-1.7199178390137519</v>
      </c>
      <c r="BV49" s="26">
        <f t="shared" si="5"/>
        <v>-2.3527758763382631</v>
      </c>
      <c r="BW49" s="26">
        <f t="shared" si="5"/>
        <v>-1.743553907235752</v>
      </c>
      <c r="BX49" s="26">
        <f t="shared" si="5"/>
        <v>-2.5101992133415969</v>
      </c>
      <c r="BY49" s="26">
        <f t="shared" si="5"/>
        <v>-1.767809755806119</v>
      </c>
      <c r="BZ49" s="26">
        <f t="shared" si="5"/>
        <v>-2.732153596551139</v>
      </c>
      <c r="CA49" s="26">
        <f t="shared" si="5"/>
        <v>-1.7927515971386381</v>
      </c>
      <c r="CB49" s="26">
        <f t="shared" si="5"/>
        <v>-3.1425381756318873</v>
      </c>
      <c r="CC49" s="26">
        <f t="shared" si="5"/>
        <v>-1.8184542108950439</v>
      </c>
      <c r="CD49" s="26">
        <f t="shared" si="5"/>
        <v>-3.4973370118969829</v>
      </c>
      <c r="CE49" s="26">
        <f t="shared" si="5"/>
        <v>-1.8450025807906427</v>
      </c>
      <c r="CF49" s="26">
        <f t="shared" si="5"/>
        <v>-2.8960598853943424</v>
      </c>
      <c r="CG49" s="26">
        <f t="shared" si="5"/>
        <v>-1.8724939472448918</v>
      </c>
      <c r="CH49" s="26">
        <f t="shared" si="5"/>
        <v>-2.6688272173866787</v>
      </c>
      <c r="CI49" s="26">
        <f t="shared" si="5"/>
        <v>-1.9010404055790837</v>
      </c>
      <c r="CJ49" s="26">
        <f t="shared" si="5"/>
        <v>-2.530951270708377</v>
      </c>
      <c r="CK49" s="26">
        <f t="shared" si="5"/>
        <v>-1.9307722310814119</v>
      </c>
      <c r="CL49" s="26">
        <f t="shared" si="5"/>
        <v>-2.43423185640115</v>
      </c>
      <c r="CM49" s="26">
        <f t="shared" si="5"/>
        <v>-1.9618421869385274</v>
      </c>
      <c r="CN49" s="26">
        <f t="shared" si="5"/>
        <v>-2.3612322043915381</v>
      </c>
      <c r="CO49" s="26">
        <f t="shared" si="5"/>
        <v>-1.9944311840105877</v>
      </c>
      <c r="CP49" s="26">
        <f t="shared" si="5"/>
        <v>-2.303646026870525</v>
      </c>
      <c r="CQ49" s="26">
        <f t="shared" si="5"/>
        <v>-2.0287558346455907</v>
      </c>
      <c r="CR49" s="26">
        <f t="shared" si="5"/>
        <v>-2.2568633275544103</v>
      </c>
      <c r="CS49" s="26">
        <f t="shared" si="5"/>
        <v>-2.0650787147785286</v>
      </c>
      <c r="CT49" s="26">
        <f t="shared" si="5"/>
        <v>-2.2180598274623149</v>
      </c>
      <c r="CU49" s="26">
        <f t="shared" si="5"/>
        <v>-2.1037225898570724</v>
      </c>
      <c r="CV49" s="26">
        <f t="shared" si="5"/>
        <v>-2.1853805876856041</v>
      </c>
      <c r="CW49" s="26">
        <f t="shared" si="5"/>
        <v>-2.1450905962456823</v>
      </c>
    </row>
    <row r="50" spans="1:101" ht="20.350000000000001" customHeight="1" thickTop="1" x14ac:dyDescent="0.45">
      <c r="AQ50" s="24"/>
    </row>
    <row r="51" spans="1:101" ht="20.350000000000001" customHeight="1" x14ac:dyDescent="0.45">
      <c r="A51" s="20"/>
      <c r="B51" s="20"/>
      <c r="C51" s="20"/>
      <c r="AQ51" s="24"/>
    </row>
    <row r="52" spans="1:101" ht="20.350000000000001" customHeight="1" x14ac:dyDescent="0.45">
      <c r="A52" s="20"/>
      <c r="B52" s="20"/>
      <c r="C52" s="20"/>
      <c r="AQ52" s="24"/>
    </row>
    <row r="53" spans="1:101" ht="20.350000000000001" customHeight="1" x14ac:dyDescent="0.45">
      <c r="A53" s="20"/>
      <c r="B53" s="20"/>
      <c r="C53" s="20"/>
      <c r="AQ53" s="24"/>
    </row>
    <row r="54" spans="1:101" ht="20.350000000000001" customHeight="1" x14ac:dyDescent="0.45">
      <c r="A54" s="20"/>
      <c r="B54" s="20"/>
      <c r="C54" s="20"/>
      <c r="AQ54" s="24"/>
    </row>
    <row r="55" spans="1:101" ht="20.350000000000001" customHeight="1" x14ac:dyDescent="0.45">
      <c r="A55" s="20"/>
      <c r="B55" s="20"/>
      <c r="C55" s="20"/>
      <c r="AQ55" s="24"/>
    </row>
    <row r="56" spans="1:101" ht="20.350000000000001" customHeight="1" x14ac:dyDescent="0.45">
      <c r="A56" s="20"/>
      <c r="B56" s="20"/>
      <c r="C56" s="20"/>
      <c r="AQ56" s="24"/>
    </row>
    <row r="57" spans="1:101" ht="20.350000000000001" customHeight="1" x14ac:dyDescent="0.5">
      <c r="A57" s="16"/>
      <c r="B57" s="16"/>
      <c r="C57" s="16"/>
      <c r="AQ57" s="24"/>
    </row>
    <row r="58" spans="1:101" ht="20.350000000000001" customHeight="1" x14ac:dyDescent="0.45">
      <c r="AQ58" s="24"/>
    </row>
    <row r="59" spans="1:101" ht="20.350000000000001" customHeight="1" x14ac:dyDescent="0.45">
      <c r="Z59" s="28"/>
      <c r="AQ59" s="24"/>
    </row>
    <row r="60" spans="1:101" ht="20.350000000000001" customHeight="1" x14ac:dyDescent="0.45">
      <c r="AQ60" s="24"/>
    </row>
    <row r="61" spans="1:101" ht="20.350000000000001" customHeight="1" x14ac:dyDescent="0.45">
      <c r="AQ61" s="24"/>
    </row>
    <row r="62" spans="1:101" ht="20.350000000000001" customHeight="1" x14ac:dyDescent="0.45">
      <c r="AQ62" s="24"/>
    </row>
    <row r="63" spans="1:101" ht="20.350000000000001" customHeight="1" x14ac:dyDescent="0.45">
      <c r="V63" s="24"/>
      <c r="AQ63" s="24"/>
    </row>
    <row r="64" spans="1:101" ht="20.350000000000001" customHeight="1" x14ac:dyDescent="0.45">
      <c r="V64" s="34"/>
      <c r="AD64" s="39">
        <f>CY71</f>
        <v>0.6368306511756191</v>
      </c>
      <c r="AE64" s="39">
        <f>CY73</f>
        <v>-0.3631693488243809</v>
      </c>
      <c r="AQ64" s="24"/>
    </row>
    <row r="65" spans="1:103" ht="20.350000000000001" customHeight="1" x14ac:dyDescent="0.45">
      <c r="AD65" s="39">
        <f>CY71</f>
        <v>0.6368306511756191</v>
      </c>
      <c r="AE65" s="39">
        <f>CY73</f>
        <v>-0.3631693488243809</v>
      </c>
      <c r="AQ65" s="24"/>
    </row>
    <row r="66" spans="1:103" ht="20.350000000000001" customHeight="1" x14ac:dyDescent="0.45">
      <c r="AQ66" s="24"/>
    </row>
    <row r="67" spans="1:103" ht="20.350000000000001" customHeight="1" x14ac:dyDescent="0.45">
      <c r="AQ67" s="24"/>
    </row>
    <row r="68" spans="1:103" ht="20.350000000000001" customHeight="1" x14ac:dyDescent="0.45">
      <c r="Z68" s="32"/>
      <c r="AA68" s="32"/>
      <c r="AQ68" s="24"/>
    </row>
    <row r="69" spans="1:103" ht="20.350000000000001" customHeight="1" x14ac:dyDescent="0.45">
      <c r="Z69" s="32"/>
      <c r="AA69" s="32"/>
      <c r="AQ69" s="24"/>
    </row>
    <row r="70" spans="1:103" ht="20.350000000000001" customHeight="1" thickBot="1" x14ac:dyDescent="0.5">
      <c r="Z70" s="32"/>
      <c r="AA70" s="32"/>
      <c r="AQ70" s="24"/>
    </row>
    <row r="71" spans="1:103" ht="20.350000000000001" customHeight="1" thickTop="1" thickBot="1" x14ac:dyDescent="0.5">
      <c r="A71" s="30" t="s">
        <v>20</v>
      </c>
      <c r="B71" s="5"/>
      <c r="C71" s="36" cm="1">
        <f t="array" ref="C71">DeltaCallEu($C$14, $C$15, $C$16, $C$17, C$19, $C$18)</f>
        <v>0.62180345468609766</v>
      </c>
      <c r="D71" s="36" cm="1">
        <f t="array" ref="D71">DeltaCallEu($C$14, $C$15, $C$16, $C$17, D$19, $C$18)</f>
        <v>0.63488250628457576</v>
      </c>
      <c r="E71" s="36" cm="1">
        <f t="array" ref="E71">DeltaCallEu($C$14, $C$15, $C$16, $C$17, E$19, $C$18)</f>
        <v>0.62900495715893245</v>
      </c>
      <c r="F71" s="36" cm="1">
        <f t="array" ref="F71">DeltaCallEu($C$14, $C$15, $C$16, $C$17, F$19, $C$18)</f>
        <v>0.63592610109484426</v>
      </c>
      <c r="G71" s="36" cm="1">
        <f t="array" ref="G71">DeltaCallEu($C$14, $C$15, $C$16, $C$17, G$19, $C$18)</f>
        <v>0.6316020348841882</v>
      </c>
      <c r="H71" s="36" cm="1">
        <f t="array" ref="H71">DeltaCallEu($C$14, $C$15, $C$16, $C$17, H$19, $C$18)</f>
        <v>0.63629340998603379</v>
      </c>
      <c r="I71" s="36" cm="1">
        <f t="array" ref="I71">DeltaCallEu($C$14, $C$15, $C$16, $C$17, I$19, $C$18)</f>
        <v>0.63293405467420671</v>
      </c>
      <c r="J71" s="36" cm="1">
        <f t="array" ref="J71">DeltaCallEu($C$14, $C$15, $C$16, $C$17, J$19, $C$18)</f>
        <v>0.63647934061619371</v>
      </c>
      <c r="K71" s="36" cm="1">
        <f t="array" ref="K71">DeltaCallEu($C$14, $C$15, $C$16, $C$17, K$19, $C$18)</f>
        <v>0.63374316741690917</v>
      </c>
      <c r="L71" s="36" cm="1">
        <f t="array" ref="L71">DeltaCallEu($C$14, $C$15, $C$16, $C$17, L$19, $C$18)</f>
        <v>0.63659149415790339</v>
      </c>
      <c r="M71" s="36" cm="1">
        <f t="array" ref="M71">DeltaCallEu($C$14, $C$15, $C$16, $C$17, M$19, $C$18)</f>
        <v>0.63428647282397776</v>
      </c>
      <c r="N71" s="36" cm="1">
        <f t="array" ref="N71">DeltaCallEu($C$14, $C$15, $C$16, $C$17, N$19, $C$18)</f>
        <v>0.63666650144158898</v>
      </c>
      <c r="O71" s="36" cm="1">
        <f t="array" ref="O71">DeltaCallEu($C$14, $C$15, $C$16, $C$17, O$19, $C$18)</f>
        <v>0.63467637798699861</v>
      </c>
      <c r="P71" s="36" cm="1">
        <f t="array" ref="P71">DeltaCallEu($C$14, $C$15, $C$16, $C$17, P$19, $C$18)</f>
        <v>0.63672019803988389</v>
      </c>
      <c r="Q71" s="36" cm="1">
        <f t="array" ref="Q71">DeltaCallEu($C$14, $C$15, $C$16, $C$17, Q$19, $C$18)</f>
        <v>0.63496977578479241</v>
      </c>
      <c r="R71" s="36" cm="1">
        <f t="array" ref="R71">DeltaCallEu($C$14, $C$15, $C$16, $C$17, R$19, $C$18)</f>
        <v>0.63676053942544086</v>
      </c>
      <c r="S71" s="36" cm="1">
        <f t="array" ref="S71">DeltaCallEu($C$14, $C$15, $C$16, $C$17, S$19, $C$18)</f>
        <v>0.63519853382741975</v>
      </c>
      <c r="T71" s="36" cm="1">
        <f t="array" ref="T71">DeltaCallEu($C$14, $C$15, $C$16, $C$17, T$19, $C$18)</f>
        <v>0.63679195913765596</v>
      </c>
      <c r="U71" s="36" cm="1">
        <f t="array" ref="U71">DeltaCallEu($C$14, $C$15, $C$16, $C$17, U$19, $C$18)</f>
        <v>0.63538188573712706</v>
      </c>
      <c r="V71" s="36" cm="1">
        <f t="array" ref="V71">DeltaCallEu($C$14, $C$15, $C$16, $C$17, V$19, $C$18)</f>
        <v>0.63681712344266572</v>
      </c>
      <c r="W71" s="36" cm="1">
        <f t="array" ref="W71">DeltaCallEu($C$14, $C$15, $C$16, $C$17, W$19, $C$18)</f>
        <v>0.63553212551621996</v>
      </c>
      <c r="X71" s="36" cm="1">
        <f t="array" ref="X71">DeltaCallEu($C$14, $C$15, $C$16, $C$17, X$19, $C$18)</f>
        <v>0.63683773215905615</v>
      </c>
      <c r="Y71" s="36" cm="1">
        <f t="array" ref="Y71">DeltaCallEu($C$14, $C$15, $C$16, $C$17, Y$19, $C$18)</f>
        <v>0.63565747755695878</v>
      </c>
      <c r="Z71" s="36" cm="1">
        <f t="array" ref="Z71">DeltaCallEu($C$14, $C$15, $C$16, $C$17, Z$19, $C$18)</f>
        <v>0.63685492021627921</v>
      </c>
      <c r="AA71" s="36" cm="1">
        <f t="array" ref="AA71">DeltaCallEu($C$14, $C$15, $C$16, $C$17, AA$19, $C$18)</f>
        <v>0.63576365146216796</v>
      </c>
      <c r="AB71" s="36" cm="1">
        <f t="array" ref="AB71">DeltaCallEu($C$14, $C$15, $C$16, $C$17, AB$19, $C$18)</f>
        <v>0.63686947434984664</v>
      </c>
      <c r="AC71" s="36" cm="1">
        <f t="array" ref="AC71">DeltaCallEu($C$14, $C$15, $C$16, $C$17, AC$19, $C$18)</f>
        <v>0.63585473477892707</v>
      </c>
      <c r="AD71" s="36" cm="1">
        <f t="array" ref="AD71">DeltaCallEu($C$14, $C$15, $C$16, $C$17, AD$19, $C$18)</f>
        <v>0.63688195714512597</v>
      </c>
      <c r="AE71" s="36" cm="1">
        <f t="array" ref="AE71">DeltaCallEu($C$14, $C$15, $C$16, $C$17, AE$19, $C$18)</f>
        <v>0.63593373071410408</v>
      </c>
      <c r="AF71" s="36" cm="1">
        <f t="array" ref="AF71">DeltaCallEu($C$14, $C$15, $C$16, $C$17, AF$19, $C$18)</f>
        <v>0.63689278157358498</v>
      </c>
      <c r="AG71" s="36" cm="1">
        <f t="array" ref="AG71">DeltaCallEu($C$14, $C$15, $C$16, $C$17, AG$19, $C$18)</f>
        <v>0.63600289527930265</v>
      </c>
      <c r="AH71" s="36" cm="1">
        <f t="array" ref="AH71">DeltaCallEu($C$14, $C$15, $C$16, $C$17, AH$19, $C$18)</f>
        <v>0.63690225763750286</v>
      </c>
      <c r="AI71" s="36" cm="1">
        <f t="array" ref="AI71">DeltaCallEu($C$14, $C$15, $C$16, $C$17, AI$19, $C$18)</f>
        <v>0.63606395602720189</v>
      </c>
      <c r="AJ71" s="36" cm="1">
        <f t="array" ref="AJ71">DeltaCallEu($C$14, $C$15, $C$16, $C$17, AJ$19, $C$18)</f>
        <v>0.63691062258571696</v>
      </c>
      <c r="AK71" s="36" cm="1">
        <f t="array" ref="AK71">DeltaCallEu($C$14, $C$15, $C$16, $C$17, AK$19, $C$18)</f>
        <v>0.63611825820749224</v>
      </c>
      <c r="AL71" s="36" cm="1">
        <f t="array" ref="AL71">DeltaCallEu($C$14, $C$15, $C$16, $C$17, AL$19, $C$18)</f>
        <v>0.63691806107772908</v>
      </c>
      <c r="AM71" s="36" cm="1">
        <f t="array" ref="AM71">DeltaCallEu($C$14, $C$15, $C$16, $C$17, AM$19, $C$18)</f>
        <v>0.6361668649639689</v>
      </c>
      <c r="AN71" s="36" cm="1">
        <f t="array" ref="AN71">DeltaCallEu($C$14, $C$15, $C$16, $C$17, AN$19, $C$18)</f>
        <v>0.63692471899277492</v>
      </c>
      <c r="AO71" s="36" cm="1">
        <f t="array" ref="AO71">DeltaCallEu($C$14, $C$15, $C$16, $C$17, AO$19, $C$18)</f>
        <v>0.63621062759197144</v>
      </c>
      <c r="AP71" s="36" cm="1">
        <f t="array" ref="AP71">DeltaCallEu($C$14, $C$15, $C$16, $C$17, AP$19, $C$18)</f>
        <v>0.6369307131040558</v>
      </c>
      <c r="AQ71" s="36" cm="1">
        <f t="array" ref="AQ71">DeltaCallEu($C$14, $C$15, $C$16, $C$17, AQ$19, $C$18)</f>
        <v>0.63625023579711104</v>
      </c>
      <c r="AR71" s="36" cm="1">
        <f t="array" ref="AR71">DeltaCallEu($C$14, $C$15, $C$16, $C$17, AR$19, $C$18)</f>
        <v>0.63693613799423565</v>
      </c>
      <c r="AS71" s="36" cm="1">
        <f t="array" ref="AS71">DeltaCallEu($C$14, $C$15, $C$16, $C$17, AS$19, $C$18)</f>
        <v>0.63628625429548513</v>
      </c>
      <c r="AT71" s="36" cm="1">
        <f t="array" ref="AT71">DeltaCallEu($C$14, $C$15, $C$16, $C$17, AT$19, $C$18)</f>
        <v>0.63692298064321218</v>
      </c>
      <c r="AU71" s="36" cm="1">
        <f t="array" ref="AU71">DeltaCallEu($C$14, $C$15, $C$16, $C$17, AU$19, $C$18)</f>
        <v>0.63631914989767158</v>
      </c>
      <c r="AV71" s="36" cm="1">
        <f t="array" ref="AV71">DeltaCallEu($C$14, $C$15, $C$16, $C$17, AV$19, $C$18)</f>
        <v>0.63687734328499701</v>
      </c>
      <c r="AW71" s="36" cm="1">
        <f t="array" ref="AW71">DeltaCallEu($C$14, $C$15, $C$16, $C$17, AW$19, $C$18)</f>
        <v>0.63634931184329324</v>
      </c>
      <c r="AX71" s="36" cm="1">
        <f t="array" ref="AX71">DeltaCallEu($C$14, $C$15, $C$16, $C$17, AX$19, $C$18)</f>
        <v>0.63683835692554436</v>
      </c>
      <c r="AY71" s="36" cm="1">
        <f t="array" ref="AY71">DeltaCallEu($C$14, $C$15, $C$16, $C$17, AY$19, $C$18)</f>
        <v>0.63637706726996923</v>
      </c>
      <c r="AZ71" s="36" cm="1">
        <f t="array" ref="AZ71">DeltaCallEu($C$14, $C$15, $C$16, $C$17, AZ$19, $C$18)</f>
        <v>0.63680496881843585</v>
      </c>
      <c r="BA71" s="36" cm="1">
        <f t="array" ref="BA71">DeltaCallEu($C$14, $C$15, $C$16, $C$17, BA$19, $C$18)</f>
        <v>0.63640269312263809</v>
      </c>
      <c r="BB71" s="36" cm="1">
        <f t="array" ref="BB71">DeltaCallEu($C$14, $C$15, $C$16, $C$17, BB$19, $C$18)</f>
        <v>0.63677631883570096</v>
      </c>
      <c r="BC71" s="36" cm="1">
        <f t="array" ref="BC71">DeltaCallEu($C$14, $C$15, $C$16, $C$17, BC$19, $C$18)</f>
        <v>0.63642642542377026</v>
      </c>
      <c r="BD71" s="36" cm="1">
        <f t="array" ref="BD71">DeltaCallEu($C$14, $C$15, $C$16, $C$17, BD$19, $C$18)</f>
        <v>0.63675169922532582</v>
      </c>
      <c r="BE71" s="36" cm="1">
        <f t="array" ref="BE71">DeltaCallEu($C$14, $C$15, $C$16, $C$17, BE$19, $C$18)</f>
        <v>0.63644846656226428</v>
      </c>
      <c r="BF71" s="36" cm="1">
        <f t="array" ref="BF71">DeltaCallEu($C$14, $C$15, $C$16, $C$17, BF$19, $C$18)</f>
        <v>0.63673052379627604</v>
      </c>
      <c r="BG71" s="36" cm="1">
        <f t="array" ref="BG71">DeltaCallEu($C$14, $C$15, $C$16, $C$17, BG$19, $C$18)</f>
        <v>0.63646899107804955</v>
      </c>
      <c r="BH71" s="36" cm="1">
        <f t="array" ref="BH71">DeltaCallEu($C$14, $C$15, $C$16, $C$17, BH$19, $C$18)</f>
        <v>0.63671230409405499</v>
      </c>
      <c r="BI71" s="36" cm="1">
        <f t="array" ref="BI71">DeltaCallEu($C$14, $C$15, $C$16, $C$17, BI$19, $C$18)</f>
        <v>0.63648815029269079</v>
      </c>
      <c r="BJ71" s="36" cm="1">
        <f t="array" ref="BJ71">DeltaCallEu($C$14, $C$15, $C$16, $C$17, BJ$19, $C$18)</f>
        <v>0.63669663081548311</v>
      </c>
      <c r="BK71" s="36" cm="1">
        <f t="array" ref="BK71">DeltaCallEu($C$14, $C$15, $C$16, $C$17, BK$19, $C$18)</f>
        <v>0.63650607604572051</v>
      </c>
      <c r="BL71" s="36" cm="1">
        <f t="array" ref="BL71">DeltaCallEu($C$14, $C$15, $C$16, $C$17, BL$19, $C$18)</f>
        <v>0.63668315919023599</v>
      </c>
      <c r="BM71" s="36" cm="1">
        <f t="array" ref="BM71">DeltaCallEu($C$14, $C$15, $C$16, $C$17, BM$19, $C$18)</f>
        <v>0.63652288373204513</v>
      </c>
      <c r="BN71" s="36" cm="1">
        <f t="array" ref="BN71">DeltaCallEu($C$14, $C$15, $C$16, $C$17, BN$19, $C$18)</f>
        <v>0.63667159739296564</v>
      </c>
      <c r="BO71" s="36" cm="1">
        <f t="array" ref="BO71">DeltaCallEu($C$14, $C$15, $C$16, $C$17, BO$19, $C$18)</f>
        <v>0.63653867478824866</v>
      </c>
      <c r="BP71" s="36" cm="1">
        <f t="array" ref="BP71">DeltaCallEu($C$14, $C$15, $C$16, $C$17, BP$19, $C$18)</f>
        <v>0.63666169729131539</v>
      </c>
      <c r="BQ71" s="36" cm="1">
        <f t="array" ref="BQ71">DeltaCallEu($C$14, $C$15, $C$16, $C$17, BQ$19, $C$18)</f>
        <v>0.63655353874116793</v>
      </c>
      <c r="BR71" s="36" cm="1">
        <f t="array" ref="BR71">DeltaCallEu($C$14, $C$15, $C$16, $C$17, BR$19, $C$18)</f>
        <v>0.63665324700892301</v>
      </c>
      <c r="BS71" s="36" cm="1">
        <f t="array" ref="BS71">DeltaCallEu($C$14, $C$15, $C$16, $C$17, BS$19, $C$18)</f>
        <v>0.63656755490581041</v>
      </c>
      <c r="BT71" s="36" cm="1">
        <f t="array" ref="BT71">DeltaCallEu($C$14, $C$15, $C$16, $C$17, BT$19, $C$18)</f>
        <v>0.63664606490950215</v>
      </c>
      <c r="BU71" s="36" cm="1">
        <f t="array" ref="BU71">DeltaCallEu($C$14, $C$15, $C$16, $C$17, BU$19, $C$18)</f>
        <v>0.63658079380096333</v>
      </c>
      <c r="BV71" s="36" cm="1">
        <f t="array" ref="BV71">DeltaCallEu($C$14, $C$15, $C$16, $C$17, BV$19, $C$18)</f>
        <v>0.63663999470121446</v>
      </c>
      <c r="BW71" s="36" cm="1">
        <f t="array" ref="BW71">DeltaCallEu($C$14, $C$15, $C$16, $C$17, BW$19, $C$18)</f>
        <v>0.63659331833576405</v>
      </c>
      <c r="BX71" s="36" cm="1">
        <f t="array" ref="BX71">DeltaCallEu($C$14, $C$15, $C$16, $C$17, BX$19, $C$18)</f>
        <v>0.6366349014304139</v>
      </c>
      <c r="BY71" s="36" cm="1">
        <f t="array" ref="BY71">DeltaCallEu($C$14, $C$15, $C$16, $C$17, BY$19, $C$18)</f>
        <v>0.63660518480896422</v>
      </c>
      <c r="BZ71" s="36" cm="1">
        <f t="array" ref="BZ71">DeltaCallEu($C$14, $C$15, $C$16, $C$17, BZ$19, $C$18)</f>
        <v>0.63663066818598335</v>
      </c>
      <c r="CA71" s="36" cm="1">
        <f t="array" ref="CA71">DeltaCallEu($C$14, $C$15, $C$16, $C$17, CA$19, $C$18)</f>
        <v>0.63661644375510062</v>
      </c>
      <c r="CB71" s="36" cm="1">
        <f t="array" ref="CB71">DeltaCallEu($C$14, $C$15, $C$16, $C$17, CB$19, $C$18)</f>
        <v>0.63662719337449958</v>
      </c>
      <c r="CC71" s="36" cm="1">
        <f t="array" ref="CC71">DeltaCallEu($C$14, $C$15, $C$16, $C$17, CC$19, $C$18)</f>
        <v>0.63662714066373505</v>
      </c>
      <c r="CD71" s="36" cm="1">
        <f t="array" ref="CD71">DeltaCallEu($C$14, $C$15, $C$16, $C$17, CD$19, $C$18)</f>
        <v>0.63662438845677738</v>
      </c>
      <c r="CE71" s="36" cm="1">
        <f t="array" ref="CE71">DeltaCallEu($C$14, $C$15, $C$16, $C$17, CE$19, $C$18)</f>
        <v>0.63663731659362621</v>
      </c>
      <c r="CF71" s="36" cm="1">
        <f t="array" ref="CF71">DeltaCallEu($C$14, $C$15, $C$16, $C$17, CF$19, $C$18)</f>
        <v>0.63662217605925819</v>
      </c>
      <c r="CG71" s="36" cm="1">
        <f t="array" ref="CG71">DeltaCallEu($C$14, $C$15, $C$16, $C$17, CG$19, $C$18)</f>
        <v>0.63664700869942514</v>
      </c>
      <c r="CH71" s="36" cm="1">
        <f t="array" ref="CH71">DeltaCallEu($C$14, $C$15, $C$16, $C$17, CH$19, $C$18)</f>
        <v>0.63662048839144325</v>
      </c>
      <c r="CI71" s="36" cm="1">
        <f t="array" ref="CI71">DeltaCallEu($C$14, $C$15, $C$16, $C$17, CI$19, $C$18)</f>
        <v>0.63665625068485554</v>
      </c>
      <c r="CJ71" s="36" cm="1">
        <f t="array" ref="CJ71">DeltaCallEu($C$14, $C$15, $C$16, $C$17, CJ$19, $C$18)</f>
        <v>0.63661926591445228</v>
      </c>
      <c r="CK71" s="36" cm="1">
        <f t="array" ref="CK71">DeltaCallEu($C$14, $C$15, $C$16, $C$17, CK$19, $C$18)</f>
        <v>0.6366650731943303</v>
      </c>
      <c r="CL71" s="36" cm="1">
        <f t="array" ref="CL71">DeltaCallEu($C$14, $C$15, $C$16, $C$17, CL$19, $C$18)</f>
        <v>0.63661845621673252</v>
      </c>
      <c r="CM71" s="36" cm="1">
        <f t="array" ref="CM71">DeltaCallEu($C$14, $C$15, $C$16, $C$17, CM$19, $C$18)</f>
        <v>0.63667350415230828</v>
      </c>
      <c r="CN71" s="36" cm="1">
        <f t="array" ref="CN71">DeltaCallEu($C$14, $C$15, $C$16, $C$17, CN$19, $C$18)</f>
        <v>0.63661801306082411</v>
      </c>
      <c r="CO71" s="36" cm="1">
        <f t="array" ref="CO71">DeltaCallEu($C$14, $C$15, $C$16, $C$17, CO$19, $C$18)</f>
        <v>0.63668156905857354</v>
      </c>
      <c r="CP71" s="36" cm="1">
        <f t="array" ref="CP71">DeltaCallEu($C$14, $C$15, $C$16, $C$17, CP$19, $C$18)</f>
        <v>0.63661789557277604</v>
      </c>
      <c r="CQ71" s="36" cm="1">
        <f t="array" ref="CQ71">DeltaCallEu($C$14, $C$15, $C$16, $C$17, CQ$19, $C$18)</f>
        <v>0.63668929124574003</v>
      </c>
      <c r="CR71" s="36" cm="1">
        <f t="array" ref="CR71">DeltaCallEu($C$14, $C$15, $C$16, $C$17, CR$19, $C$18)</f>
        <v>0.63661806755032413</v>
      </c>
      <c r="CS71" s="36" cm="1">
        <f t="array" ref="CS71">DeltaCallEu($C$14, $C$15, $C$16, $C$17, CS$19, $C$18)</f>
        <v>0.63669669210468616</v>
      </c>
      <c r="CT71" s="36" cm="1">
        <f t="array" ref="CT71">DeltaCallEu($C$14, $C$15, $C$16, $C$17, CT$19, $C$18)</f>
        <v>0.63661849687068606</v>
      </c>
      <c r="CU71" s="36" cm="1">
        <f t="array" ref="CU71">DeltaCallEu($C$14, $C$15, $C$16, $C$17, CU$19, $C$18)</f>
        <v>0.63670379128250465</v>
      </c>
      <c r="CV71" s="36" cm="1">
        <f t="array" ref="CV71">DeltaCallEu($C$14, $C$15, $C$16, $C$17, CV$19, $C$18)</f>
        <v>0.63661915498202881</v>
      </c>
      <c r="CW71" s="36" cm="1">
        <f t="array" ref="CW71">DeltaCallEu($C$14, $C$15, $C$16, $C$17, CW$19, $C$18)</f>
        <v>0.6367106068565449</v>
      </c>
      <c r="CY71" s="37">
        <f xml:space="preserve"> _xlfn.NORM.S.DIST( $CZ$19, TRUE )</f>
        <v>0.6368306511756191</v>
      </c>
    </row>
    <row r="72" spans="1:103" ht="20.350000000000001" customHeight="1" thickTop="1" thickBot="1" x14ac:dyDescent="0.5">
      <c r="A72" s="1"/>
      <c r="B72" s="1"/>
      <c r="C72" s="20"/>
      <c r="D72" s="1"/>
      <c r="E72" s="20"/>
      <c r="F72" s="20"/>
      <c r="G72" s="20"/>
      <c r="H72" s="20"/>
      <c r="I72" s="20"/>
      <c r="J72" s="20"/>
      <c r="K72" s="20"/>
      <c r="L72" s="20"/>
      <c r="M72" s="20"/>
      <c r="N72" s="20"/>
      <c r="O72" s="20"/>
      <c r="P72" s="1"/>
      <c r="Z72" s="32"/>
      <c r="AA72" s="32"/>
      <c r="AQ72" s="24"/>
      <c r="CY72" s="20"/>
    </row>
    <row r="73" spans="1:103" ht="20.350000000000001" customHeight="1" thickTop="1" thickBot="1" x14ac:dyDescent="0.5">
      <c r="A73" s="31" t="s">
        <v>21</v>
      </c>
      <c r="B73" s="5"/>
      <c r="C73" s="36" cm="1">
        <f t="array" ref="C73">DeltaPutEu($C$14, $C$15, $C$16, $C$17, C$19, $C$18)</f>
        <v>-0.37819654531390279</v>
      </c>
      <c r="D73" s="36" cm="1">
        <f t="array" ref="D73">DeltaPutEu($C$14, $C$15, $C$16, $C$17, D$19, $C$18)</f>
        <v>-0.36511749371542418</v>
      </c>
      <c r="E73" s="36" cm="1">
        <f t="array" ref="E73">DeltaPutEu($C$14, $C$15, $C$16, $C$17, E$19, $C$18)</f>
        <v>-0.3709950428410681</v>
      </c>
      <c r="F73" s="36" cm="1">
        <f t="array" ref="F73">DeltaPutEu($C$14, $C$15, $C$16, $C$17, F$19, $C$18)</f>
        <v>-0.36407389890515557</v>
      </c>
      <c r="G73" s="36" cm="1">
        <f t="array" ref="G73">DeltaPutEu($C$14, $C$15, $C$16, $C$17, G$19, $C$18)</f>
        <v>-0.36839796511581163</v>
      </c>
      <c r="H73" s="36" cm="1">
        <f t="array" ref="H73">DeltaPutEu($C$14, $C$15, $C$16, $C$17, H$19, $C$18)</f>
        <v>-0.3637065900139656</v>
      </c>
      <c r="I73" s="36" cm="1">
        <f t="array" ref="I73">DeltaPutEu($C$14, $C$15, $C$16, $C$17, I$19, $C$18)</f>
        <v>-0.36706594532579145</v>
      </c>
      <c r="J73" s="36" cm="1">
        <f t="array" ref="J73">DeltaPutEu($C$14, $C$15, $C$16, $C$17, J$19, $C$18)</f>
        <v>-0.36352065938380668</v>
      </c>
      <c r="K73" s="36" cm="1">
        <f t="array" ref="K73">DeltaPutEu($C$14, $C$15, $C$16, $C$17, K$19, $C$18)</f>
        <v>-0.36625683258309227</v>
      </c>
      <c r="L73" s="36" cm="1">
        <f t="array" ref="L73">DeltaPutEu($C$14, $C$15, $C$16, $C$17, L$19, $C$18)</f>
        <v>-0.36340850584209478</v>
      </c>
      <c r="M73" s="36" cm="1">
        <f t="array" ref="M73">DeltaPutEu($C$14, $C$15, $C$16, $C$17, M$19, $C$18)</f>
        <v>-0.36571352717602129</v>
      </c>
      <c r="N73" s="36" cm="1">
        <f t="array" ref="N73">DeltaPutEu($C$14, $C$15, $C$16, $C$17, N$19, $C$18)</f>
        <v>-0.36333349855841002</v>
      </c>
      <c r="O73" s="36" cm="1">
        <f t="array" ref="O73">DeltaPutEu($C$14, $C$15, $C$16, $C$17, O$19, $C$18)</f>
        <v>-0.36532362201300034</v>
      </c>
      <c r="P73" s="36" cm="1">
        <f t="array" ref="P73">DeltaPutEu($C$14, $C$15, $C$16, $C$17, P$19, $C$18)</f>
        <v>-0.36327980196011567</v>
      </c>
      <c r="Q73" s="36" cm="1">
        <f t="array" ref="Q73">DeltaPutEu($C$14, $C$15, $C$16, $C$17, Q$19, $C$18)</f>
        <v>-0.36503022421520742</v>
      </c>
      <c r="R73" s="36" cm="1">
        <f t="array" ref="R73">DeltaPutEu($C$14, $C$15, $C$16, $C$17, R$19, $C$18)</f>
        <v>-0.36323946057455975</v>
      </c>
      <c r="S73" s="36" cm="1">
        <f t="array" ref="S73">DeltaPutEu($C$14, $C$15, $C$16, $C$17, S$19, $C$18)</f>
        <v>-0.36480146617258113</v>
      </c>
      <c r="T73" s="36" cm="1">
        <f t="array" ref="T73">DeltaPutEu($C$14, $C$15, $C$16, $C$17, T$19, $C$18)</f>
        <v>-0.36320804086234865</v>
      </c>
      <c r="U73" s="36" cm="1">
        <f t="array" ref="U73">DeltaPutEu($C$14, $C$15, $C$16, $C$17, U$19, $C$18)</f>
        <v>-0.36461811426287261</v>
      </c>
      <c r="V73" s="36" cm="1">
        <f t="array" ref="V73">DeltaPutEu($C$14, $C$15, $C$16, $C$17, V$19, $C$18)</f>
        <v>-0.36318287655733333</v>
      </c>
      <c r="W73" s="36" cm="1">
        <f t="array" ref="W73">DeltaPutEu($C$14, $C$15, $C$16, $C$17, W$19, $C$18)</f>
        <v>-0.36446787448378193</v>
      </c>
      <c r="X73" s="36" cm="1">
        <f t="array" ref="X73">DeltaPutEu($C$14, $C$15, $C$16, $C$17, X$19, $C$18)</f>
        <v>-0.36316226784094174</v>
      </c>
      <c r="Y73" s="36" cm="1">
        <f t="array" ref="Y73">DeltaPutEu($C$14, $C$15, $C$16, $C$17, Y$19, $C$18)</f>
        <v>-0.36434252244303916</v>
      </c>
      <c r="Z73" s="36" cm="1">
        <f t="array" ref="Z73">DeltaPutEu($C$14, $C$15, $C$16, $C$17, Z$19, $C$18)</f>
        <v>-0.36314507978372024</v>
      </c>
      <c r="AA73" s="36" cm="1">
        <f t="array" ref="AA73">DeltaPutEu($C$14, $C$15, $C$16, $C$17, AA$19, $C$18)</f>
        <v>-0.36423634853783449</v>
      </c>
      <c r="AB73" s="36" cm="1">
        <f t="array" ref="AB73">DeltaPutEu($C$14, $C$15, $C$16, $C$17, AB$19, $C$18)</f>
        <v>-0.36313052565015375</v>
      </c>
      <c r="AC73" s="36" cm="1">
        <f t="array" ref="AC73">DeltaPutEu($C$14, $C$15, $C$16, $C$17, AC$19, $C$18)</f>
        <v>-0.36414526522107082</v>
      </c>
      <c r="AD73" s="36" cm="1">
        <f t="array" ref="AD73">DeltaPutEu($C$14, $C$15, $C$16, $C$17, AD$19, $C$18)</f>
        <v>-0.36311804285487614</v>
      </c>
      <c r="AE73" s="36" cm="1">
        <f t="array" ref="AE73">DeltaPutEu($C$14, $C$15, $C$16, $C$17, AE$19, $C$18)</f>
        <v>-0.36406626928589642</v>
      </c>
      <c r="AF73" s="36" cm="1">
        <f t="array" ref="AF73">DeltaPutEu($C$14, $C$15, $C$16, $C$17, AF$19, $C$18)</f>
        <v>-0.36310721842641097</v>
      </c>
      <c r="AG73" s="36" cm="1">
        <f t="array" ref="AG73">DeltaPutEu($C$14, $C$15, $C$16, $C$17, AG$19, $C$18)</f>
        <v>-0.36399710472070018</v>
      </c>
      <c r="AH73" s="36" cm="1">
        <f t="array" ref="AH73">DeltaPutEu($C$14, $C$15, $C$16, $C$17, AH$19, $C$18)</f>
        <v>-0.36309774236249642</v>
      </c>
      <c r="AI73" s="36" cm="1">
        <f t="array" ref="AI73">DeltaPutEu($C$14, $C$15, $C$16, $C$17, AI$19, $C$18)</f>
        <v>-0.36393604397279838</v>
      </c>
      <c r="AJ73" s="36" cm="1">
        <f t="array" ref="AJ73">DeltaPutEu($C$14, $C$15, $C$16, $C$17, AJ$19, $C$18)</f>
        <v>-0.36308937741428493</v>
      </c>
      <c r="AK73" s="36" cm="1">
        <f t="array" ref="AK73">DeltaPutEu($C$14, $C$15, $C$16, $C$17, AK$19, $C$18)</f>
        <v>-0.36388174179250998</v>
      </c>
      <c r="AL73" s="36" cm="1">
        <f t="array" ref="AL73">DeltaPutEu($C$14, $C$15, $C$16, $C$17, AL$19, $C$18)</f>
        <v>-0.36308193892226609</v>
      </c>
      <c r="AM73" s="36" cm="1">
        <f t="array" ref="AM73">DeltaPutEu($C$14, $C$15, $C$16, $C$17, AM$19, $C$18)</f>
        <v>-0.36383313503603221</v>
      </c>
      <c r="AN73" s="36" cm="1">
        <f t="array" ref="AN73">DeltaPutEu($C$14, $C$15, $C$16, $C$17, AN$19, $C$18)</f>
        <v>-0.3630752810072233</v>
      </c>
      <c r="AO73" s="36" cm="1">
        <f t="array" ref="AO73">DeltaPutEu($C$14, $C$15, $C$16, $C$17, AO$19, $C$18)</f>
        <v>-0.36378937240802922</v>
      </c>
      <c r="AP73" s="36" cm="1">
        <f t="array" ref="AP73">DeltaPutEu($C$14, $C$15, $C$16, $C$17, AP$19, $C$18)</f>
        <v>-0.36306928689594364</v>
      </c>
      <c r="AQ73" s="36" cm="1">
        <f t="array" ref="AQ73">DeltaPutEu($C$14, $C$15, $C$16, $C$17, AQ$19, $C$18)</f>
        <v>-0.36374976420288252</v>
      </c>
      <c r="AR73" s="36" cm="1">
        <f t="array" ref="AR73">DeltaPutEu($C$14, $C$15, $C$16, $C$17, AR$19, $C$18)</f>
        <v>-0.36306386200577184</v>
      </c>
      <c r="AS73" s="36" cm="1">
        <f t="array" ref="AS73">DeltaPutEu($C$14, $C$15, $C$16, $C$17, AS$19, $C$18)</f>
        <v>-0.36371374570451337</v>
      </c>
      <c r="AT73" s="36" cm="1">
        <f t="array" ref="AT73">DeltaPutEu($C$14, $C$15, $C$16, $C$17, AT$19, $C$18)</f>
        <v>-0.36307701935679004</v>
      </c>
      <c r="AU73" s="36" cm="1">
        <f t="array" ref="AU73">DeltaPutEu($C$14, $C$15, $C$16, $C$17, AU$19, $C$18)</f>
        <v>-0.3636808501023352</v>
      </c>
      <c r="AV73" s="36" cm="1">
        <f t="array" ref="AV73">DeltaPutEu($C$14, $C$15, $C$16, $C$17, AV$19, $C$18)</f>
        <v>-0.36312265671500188</v>
      </c>
      <c r="AW73" s="36" cm="1">
        <f t="array" ref="AW73">DeltaPutEu($C$14, $C$15, $C$16, $C$17, AW$19, $C$18)</f>
        <v>-0.36365068815670765</v>
      </c>
      <c r="AX73" s="36" cm="1">
        <f t="array" ref="AX73">DeltaPutEu($C$14, $C$15, $C$16, $C$17, AX$19, $C$18)</f>
        <v>-0.36316164307445847</v>
      </c>
      <c r="AY73" s="36" cm="1">
        <f t="array" ref="AY73">DeltaPutEu($C$14, $C$15, $C$16, $C$17, AY$19, $C$18)</f>
        <v>-0.36362293273003765</v>
      </c>
      <c r="AZ73" s="36" cm="1">
        <f t="array" ref="AZ73">DeltaPutEu($C$14, $C$15, $C$16, $C$17, AZ$19, $C$18)</f>
        <v>-0.36319503118156066</v>
      </c>
      <c r="BA73" s="36" cm="1">
        <f t="array" ref="BA73">DeltaPutEu($C$14, $C$15, $C$16, $C$17, BA$19, $C$18)</f>
        <v>-0.36359730687736574</v>
      </c>
      <c r="BB73" s="36" cm="1">
        <f t="array" ref="BB73">DeltaPutEu($C$14, $C$15, $C$16, $C$17, BB$19, $C$18)</f>
        <v>-0.36322368116429554</v>
      </c>
      <c r="BC73" s="36" cm="1">
        <f t="array" ref="BC73">DeltaPutEu($C$14, $C$15, $C$16, $C$17, BC$19, $C$18)</f>
        <v>-0.36357357457622891</v>
      </c>
      <c r="BD73" s="36" cm="1">
        <f t="array" ref="BD73">DeltaPutEu($C$14, $C$15, $C$16, $C$17, BD$19, $C$18)</f>
        <v>-0.36324830077467812</v>
      </c>
      <c r="BE73" s="36" cm="1">
        <f t="array" ref="BE73">DeltaPutEu($C$14, $C$15, $C$16, $C$17, BE$19, $C$18)</f>
        <v>-0.36355153343772945</v>
      </c>
      <c r="BF73" s="36" cm="1">
        <f t="array" ref="BF73">DeltaPutEu($C$14, $C$15, $C$16, $C$17, BF$19, $C$18)</f>
        <v>-0.36326947620372496</v>
      </c>
      <c r="BG73" s="36" cm="1">
        <f t="array" ref="BG73">DeltaPutEu($C$14, $C$15, $C$16, $C$17, BG$19, $C$18)</f>
        <v>-0.36353100892195095</v>
      </c>
      <c r="BH73" s="36" cm="1">
        <f t="array" ref="BH73">DeltaPutEu($C$14, $C$15, $C$16, $C$17, BH$19, $C$18)</f>
        <v>-0.3632876959059464</v>
      </c>
      <c r="BI73" s="36" cm="1">
        <f t="array" ref="BI73">DeltaPutEu($C$14, $C$15, $C$16, $C$17, BI$19, $C$18)</f>
        <v>-0.3635118497073126</v>
      </c>
      <c r="BJ73" s="36" cm="1">
        <f t="array" ref="BJ73">DeltaPutEu($C$14, $C$15, $C$16, $C$17, BJ$19, $C$18)</f>
        <v>-0.36330336918452122</v>
      </c>
      <c r="BK73" s="36" cm="1">
        <f t="array" ref="BK73">DeltaPutEu($C$14, $C$15, $C$16, $C$17, BK$19, $C$18)</f>
        <v>-0.36349392395428476</v>
      </c>
      <c r="BL73" s="36" cm="1">
        <f t="array" ref="BL73">DeltaPutEu($C$14, $C$15, $C$16, $C$17, BL$19, $C$18)</f>
        <v>-0.36331684080975857</v>
      </c>
      <c r="BM73" s="36" cm="1">
        <f t="array" ref="BM73">DeltaPutEu($C$14, $C$15, $C$16, $C$17, BM$19, $C$18)</f>
        <v>-0.36347711626795703</v>
      </c>
      <c r="BN73" s="36" cm="1">
        <f t="array" ref="BN73">DeltaPutEu($C$14, $C$15, $C$16, $C$17, BN$19, $C$18)</f>
        <v>-0.36332840260702454</v>
      </c>
      <c r="BO73" s="36" cm="1">
        <f t="array" ref="BO73">DeltaPutEu($C$14, $C$15, $C$16, $C$17, BO$19, $C$18)</f>
        <v>-0.36346132521174868</v>
      </c>
      <c r="BP73" s="36" cm="1">
        <f t="array" ref="BP73">DeltaPutEu($C$14, $C$15, $C$16, $C$17, BP$19, $C$18)</f>
        <v>-0.36333830270868939</v>
      </c>
      <c r="BQ73" s="36" cm="1">
        <f t="array" ref="BQ73">DeltaPutEu($C$14, $C$15, $C$16, $C$17, BQ$19, $C$18)</f>
        <v>-0.36344646125882896</v>
      </c>
      <c r="BR73" s="36" cm="1">
        <f t="array" ref="BR73">DeltaPutEu($C$14, $C$15, $C$16, $C$17, BR$19, $C$18)</f>
        <v>-0.36334675299107821</v>
      </c>
      <c r="BS73" s="36" cm="1">
        <f t="array" ref="BS73">DeltaPutEu($C$14, $C$15, $C$16, $C$17, BS$19, $C$18)</f>
        <v>-0.36343244509419392</v>
      </c>
      <c r="BT73" s="36" cm="1">
        <f t="array" ref="BT73">DeltaPutEu($C$14, $C$15, $C$16, $C$17, BT$19, $C$18)</f>
        <v>-0.3633539350904878</v>
      </c>
      <c r="BU73" s="36" cm="1">
        <f t="array" ref="BU73">DeltaPutEu($C$14, $C$15, $C$16, $C$17, BU$19, $C$18)</f>
        <v>-0.36341920619902568</v>
      </c>
      <c r="BV73" s="36" cm="1">
        <f t="array" ref="BV73">DeltaPutEu($C$14, $C$15, $C$16, $C$17, BV$19, $C$18)</f>
        <v>-0.36336000529878737</v>
      </c>
      <c r="BW73" s="36" cm="1">
        <f t="array" ref="BW73">DeltaPutEu($C$14, $C$15, $C$16, $C$17, BW$19, $C$18)</f>
        <v>-0.36340668166424106</v>
      </c>
      <c r="BX73" s="36" cm="1">
        <f t="array" ref="BX73">DeltaPutEu($C$14, $C$15, $C$16, $C$17, BX$19, $C$18)</f>
        <v>-0.36336509856959415</v>
      </c>
      <c r="BY73" s="36" cm="1">
        <f t="array" ref="BY73">DeltaPutEu($C$14, $C$15, $C$16, $C$17, BY$19, $C$18)</f>
        <v>-0.36339481519103844</v>
      </c>
      <c r="BZ73" s="36" cm="1">
        <f t="array" ref="BZ73">DeltaPutEu($C$14, $C$15, $C$16, $C$17, BZ$19, $C$18)</f>
        <v>-0.36336933181402287</v>
      </c>
      <c r="CA73" s="36" cm="1">
        <f t="array" ref="CA73">DeltaPutEu($C$14, $C$15, $C$16, $C$17, CA$19, $C$18)</f>
        <v>-0.36338355624489332</v>
      </c>
      <c r="CB73" s="36" cm="1">
        <f t="array" ref="CB73">DeltaPutEu($C$14, $C$15, $C$16, $C$17, CB$19, $C$18)</f>
        <v>-0.36337280662550109</v>
      </c>
      <c r="CC73" s="36" cm="1">
        <f t="array" ref="CC73">DeltaPutEu($C$14, $C$15, $C$16, $C$17, CC$19, $C$18)</f>
        <v>-0.36337285933625579</v>
      </c>
      <c r="CD73" s="36" cm="1">
        <f t="array" ref="CD73">DeltaPutEu($C$14, $C$15, $C$16, $C$17, CD$19, $C$18)</f>
        <v>-0.36337561154321724</v>
      </c>
      <c r="CE73" s="36" cm="1">
        <f t="array" ref="CE73">DeltaPutEu($C$14, $C$15, $C$16, $C$17, CE$19, $C$18)</f>
        <v>-0.36336268340637345</v>
      </c>
      <c r="CF73" s="36" cm="1">
        <f t="array" ref="CF73">DeltaPutEu($C$14, $C$15, $C$16, $C$17, CF$19, $C$18)</f>
        <v>-0.36337782394074486</v>
      </c>
      <c r="CG73" s="36" cm="1">
        <f t="array" ref="CG73">DeltaPutEu($C$14, $C$15, $C$16, $C$17, CG$19, $C$18)</f>
        <v>-0.36335299130057774</v>
      </c>
      <c r="CH73" s="36" cm="1">
        <f t="array" ref="CH73">DeltaPutEu($C$14, $C$15, $C$16, $C$17, CH$19, $C$18)</f>
        <v>-0.36337951160857496</v>
      </c>
      <c r="CI73" s="36" cm="1">
        <f t="array" ref="CI73">DeltaPutEu($C$14, $C$15, $C$16, $C$17, CI$19, $C$18)</f>
        <v>-0.36334374931514302</v>
      </c>
      <c r="CJ73" s="36" cm="1">
        <f t="array" ref="CJ73">DeltaPutEu($C$14, $C$15, $C$16, $C$17, CJ$19, $C$18)</f>
        <v>-0.36338073408554539</v>
      </c>
      <c r="CK73" s="36" cm="1">
        <f t="array" ref="CK73">DeltaPutEu($C$14, $C$15, $C$16, $C$17, CK$19, $C$18)</f>
        <v>-0.3633349268056757</v>
      </c>
      <c r="CL73" s="36" cm="1">
        <f t="array" ref="CL73">DeltaPutEu($C$14, $C$15, $C$16, $C$17, CL$19, $C$18)</f>
        <v>-0.36338154378326837</v>
      </c>
      <c r="CM73" s="36" cm="1">
        <f t="array" ref="CM73">DeltaPutEu($C$14, $C$15, $C$16, $C$17, CM$19, $C$18)</f>
        <v>-0.36332649584768162</v>
      </c>
      <c r="CN73" s="36" cm="1">
        <f t="array" ref="CN73">DeltaPutEu($C$14, $C$15, $C$16, $C$17, CN$19, $C$18)</f>
        <v>-0.36338198693917528</v>
      </c>
      <c r="CO73" s="36" cm="1">
        <f t="array" ref="CO73">DeltaPutEu($C$14, $C$15, $C$16, $C$17, CO$19, $C$18)</f>
        <v>-0.3633184309414258</v>
      </c>
      <c r="CP73" s="36" cm="1">
        <f t="array" ref="CP73">DeltaPutEu($C$14, $C$15, $C$16, $C$17, CP$19, $C$18)</f>
        <v>-0.36338210442722801</v>
      </c>
      <c r="CQ73" s="36" cm="1">
        <f t="array" ref="CQ73">DeltaPutEu($C$14, $C$15, $C$16, $C$17, CQ$19, $C$18)</f>
        <v>-0.36331070875427096</v>
      </c>
      <c r="CR73" s="36" cm="1">
        <f t="array" ref="CR73">DeltaPutEu($C$14, $C$15, $C$16, $C$17, CR$19, $C$18)</f>
        <v>-0.36338193244967493</v>
      </c>
      <c r="CS73" s="36" cm="1">
        <f t="array" ref="CS73">DeltaPutEu($C$14, $C$15, $C$16, $C$17, CS$19, $C$18)</f>
        <v>-0.36330330789531318</v>
      </c>
      <c r="CT73" s="36" cm="1">
        <f t="array" ref="CT73">DeltaPutEu($C$14, $C$15, $C$16, $C$17, CT$19, $C$18)</f>
        <v>-0.36338150312931922</v>
      </c>
      <c r="CU73" s="36" cm="1">
        <f t="array" ref="CU73">DeltaPutEu($C$14, $C$15, $C$16, $C$17, CU$19, $C$18)</f>
        <v>-0.36329620871748963</v>
      </c>
      <c r="CV73" s="36" cm="1">
        <f t="array" ref="CV73">DeltaPutEu($C$14, $C$15, $C$16, $C$17, CV$19, $C$18)</f>
        <v>-0.36338084501797052</v>
      </c>
      <c r="CW73" s="36" cm="1">
        <f t="array" ref="CW73">DeltaPutEu($C$14, $C$15, $C$16, $C$17, CW$19, $C$18)</f>
        <v>-0.36328939314345376</v>
      </c>
      <c r="CY73" s="37">
        <f xml:space="preserve"> -_xlfn.NORM.S.DIST( $CZ$18-$C$16*SQRT($C$17), TRUE )</f>
        <v>-0.3631693488243809</v>
      </c>
    </row>
    <row r="74" spans="1:103" ht="20.350000000000001" customHeight="1" thickTop="1" x14ac:dyDescent="0.45">
      <c r="Z74" s="32"/>
      <c r="AA74" s="32"/>
      <c r="AQ74" s="24"/>
    </row>
    <row r="75" spans="1:103" ht="20.350000000000001" customHeight="1" x14ac:dyDescent="0.45">
      <c r="Z75" s="32"/>
      <c r="AA75" s="32"/>
      <c r="AQ75" s="24"/>
    </row>
    <row r="76" spans="1:103" ht="20.350000000000001" customHeight="1" x14ac:dyDescent="0.45">
      <c r="AQ76" s="24"/>
    </row>
    <row r="77" spans="1:103" ht="20.350000000000001" customHeight="1" x14ac:dyDescent="0.45">
      <c r="AQ77" s="24"/>
    </row>
    <row r="78" spans="1:103" ht="20.350000000000001" customHeight="1" x14ac:dyDescent="0.45">
      <c r="AQ78" s="24"/>
    </row>
    <row r="79" spans="1:103" ht="20.350000000000001" customHeight="1" x14ac:dyDescent="0.45">
      <c r="AQ79" s="24"/>
    </row>
    <row r="80" spans="1:103" ht="20.350000000000001" customHeight="1" x14ac:dyDescent="0.45">
      <c r="AQ80" s="24"/>
    </row>
    <row r="81" spans="1:101" ht="20.350000000000001" customHeight="1" x14ac:dyDescent="0.45">
      <c r="AQ81" s="24"/>
    </row>
    <row r="82" spans="1:101" ht="20.350000000000001" customHeight="1" x14ac:dyDescent="0.45">
      <c r="AQ82" s="24"/>
    </row>
    <row r="83" spans="1:101" ht="20.350000000000001" customHeight="1" x14ac:dyDescent="0.45">
      <c r="AQ83" s="24"/>
    </row>
    <row r="84" spans="1:101" ht="20.350000000000001" customHeight="1" x14ac:dyDescent="0.45">
      <c r="AQ84" s="24"/>
    </row>
    <row r="85" spans="1:101" ht="20.350000000000001" customHeight="1" x14ac:dyDescent="0.45">
      <c r="AQ85" s="24"/>
    </row>
    <row r="86" spans="1:101" ht="20.350000000000001" customHeight="1" x14ac:dyDescent="0.45">
      <c r="AQ86" s="24"/>
    </row>
    <row r="87" spans="1:101" ht="20.350000000000001" customHeight="1" x14ac:dyDescent="0.45">
      <c r="AQ87" s="24"/>
    </row>
    <row r="88" spans="1:101" ht="20.350000000000001" customHeight="1" x14ac:dyDescent="0.45">
      <c r="AQ88" s="24"/>
    </row>
    <row r="89" spans="1:101" ht="20.350000000000001" customHeight="1" x14ac:dyDescent="0.45">
      <c r="AQ89" s="24"/>
    </row>
    <row r="90" spans="1:101" ht="20.350000000000001" customHeight="1" x14ac:dyDescent="0.45">
      <c r="AQ90" s="24"/>
    </row>
    <row r="91" spans="1:101" ht="20.350000000000001" customHeight="1" x14ac:dyDescent="0.45">
      <c r="AQ91" s="24"/>
    </row>
    <row r="92" spans="1:101" ht="20.350000000000001" customHeight="1" x14ac:dyDescent="0.45">
      <c r="AQ92" s="24"/>
    </row>
    <row r="93" spans="1:101" ht="20.350000000000001" customHeight="1" x14ac:dyDescent="0.45">
      <c r="AQ93" s="24"/>
    </row>
    <row r="94" spans="1:101" ht="20.350000000000001" customHeight="1" thickBot="1" x14ac:dyDescent="0.5">
      <c r="AQ94" s="24"/>
    </row>
    <row r="95" spans="1:101" ht="20.350000000000001" customHeight="1" thickTop="1" thickBot="1" x14ac:dyDescent="0.5">
      <c r="A95" s="35" t="s">
        <v>18</v>
      </c>
      <c r="B95" s="20"/>
      <c r="C95" s="33">
        <f>LOG(ABS(C71-$CY71))</f>
        <v>-1.8231220348953407</v>
      </c>
      <c r="D95" s="33">
        <f t="shared" ref="D95:BO95" si="6">LOG(ABS(D71-$CY71))</f>
        <v>-2.7103787461018909</v>
      </c>
      <c r="E95" s="33">
        <f t="shared" si="6"/>
        <v>-2.1064771369442115</v>
      </c>
      <c r="F95" s="33">
        <f t="shared" si="6"/>
        <v>-3.0435673832518666</v>
      </c>
      <c r="G95" s="33">
        <f t="shared" si="6"/>
        <v>-2.2816132282465933</v>
      </c>
      <c r="H95" s="33">
        <f t="shared" si="6"/>
        <v>-3.2698306979321097</v>
      </c>
      <c r="I95" s="33">
        <f t="shared" si="6"/>
        <v>-2.4093145637435645</v>
      </c>
      <c r="J95" s="33">
        <f t="shared" si="6"/>
        <v>-3.4543087963188261</v>
      </c>
      <c r="K95" s="33">
        <f t="shared" si="6"/>
        <v>-2.5103953182735599</v>
      </c>
      <c r="L95" s="33">
        <f t="shared" si="6"/>
        <v>-3.6213168708635579</v>
      </c>
      <c r="M95" s="33">
        <f t="shared" si="6"/>
        <v>-2.5944524471043384</v>
      </c>
      <c r="N95" s="33">
        <f t="shared" si="6"/>
        <v>-3.7847598166163117</v>
      </c>
      <c r="O95" s="33">
        <f t="shared" si="6"/>
        <v>-2.66669922360661</v>
      </c>
      <c r="P95" s="33">
        <f t="shared" si="6"/>
        <v>-3.95682195011244</v>
      </c>
      <c r="Q95" s="33">
        <f t="shared" si="6"/>
        <v>-2.7302827074110034</v>
      </c>
      <c r="R95" s="33">
        <f t="shared" si="6"/>
        <v>-4.1542091915920976</v>
      </c>
      <c r="S95" s="33">
        <f t="shared" si="6"/>
        <v>-2.7872486189625096</v>
      </c>
      <c r="T95" s="33">
        <f t="shared" si="6"/>
        <v>-4.412378394785442</v>
      </c>
      <c r="U95" s="33">
        <f t="shared" si="6"/>
        <v>-2.8390019230275354</v>
      </c>
      <c r="V95" s="33">
        <f t="shared" si="6"/>
        <v>-4.8687749785932786</v>
      </c>
      <c r="W95" s="33">
        <f t="shared" si="6"/>
        <v>-2.8865494641129588</v>
      </c>
      <c r="X95" s="33">
        <f t="shared" si="6"/>
        <v>-5.1499064214595993</v>
      </c>
      <c r="Y95" s="33">
        <f t="shared" si="6"/>
        <v>-2.9306377116300033</v>
      </c>
      <c r="Z95" s="33">
        <f t="shared" si="6"/>
        <v>-4.6149473907161127</v>
      </c>
      <c r="AA95" s="33">
        <f t="shared" si="6"/>
        <v>-2.9718356972077733</v>
      </c>
      <c r="AB95" s="33">
        <f t="shared" si="6"/>
        <v>-4.4109089590777808</v>
      </c>
      <c r="AC95" s="33">
        <f t="shared" si="6"/>
        <v>-3.0105873852129013</v>
      </c>
      <c r="AD95" s="33">
        <f t="shared" si="6"/>
        <v>-4.2898321013001945</v>
      </c>
      <c r="AE95" s="33">
        <f t="shared" si="6"/>
        <v>-3.0472460682788913</v>
      </c>
      <c r="AF95" s="33">
        <f t="shared" si="6"/>
        <v>-4.2066958645772852</v>
      </c>
      <c r="AG95" s="33">
        <f t="shared" si="6"/>
        <v>-3.082097716974471</v>
      </c>
      <c r="AH95" s="33">
        <f t="shared" si="6"/>
        <v>-4.1450477844822489</v>
      </c>
      <c r="AI95" s="33">
        <f t="shared" si="6"/>
        <v>-3.1153772849142389</v>
      </c>
      <c r="AJ95" s="33">
        <f t="shared" si="6"/>
        <v>-4.0970652462070838</v>
      </c>
      <c r="AK95" s="33">
        <f t="shared" si="6"/>
        <v>-3.1472803760122376</v>
      </c>
      <c r="AL95" s="33">
        <f t="shared" si="6"/>
        <v>-4.0584393661284075</v>
      </c>
      <c r="AM95" s="33">
        <f t="shared" si="6"/>
        <v>-3.1779717731181769</v>
      </c>
      <c r="AN95" s="33">
        <f t="shared" si="6"/>
        <v>-4.0265589336638286</v>
      </c>
      <c r="AO95" s="33">
        <f t="shared" si="6"/>
        <v>-3.2075917910610254</v>
      </c>
      <c r="AP95" s="33">
        <f t="shared" si="6"/>
        <v>-3.9997311314611297</v>
      </c>
      <c r="AQ95" s="33">
        <f t="shared" si="6"/>
        <v>-3.2362610891483103</v>
      </c>
      <c r="AR95" s="33">
        <f t="shared" si="6"/>
        <v>-3.9768018053875878</v>
      </c>
      <c r="AS95" s="33">
        <f t="shared" si="6"/>
        <v>-3.2640843723454194</v>
      </c>
      <c r="AT95" s="33">
        <f t="shared" si="6"/>
        <v>-4.0346596687397707</v>
      </c>
      <c r="AU95" s="33">
        <f t="shared" si="6"/>
        <v>-3.2911532768983229</v>
      </c>
      <c r="AV95" s="33">
        <f t="shared" si="6"/>
        <v>-4.3307565057973241</v>
      </c>
      <c r="AW95" s="33">
        <f t="shared" si="6"/>
        <v>-3.3175486487856638</v>
      </c>
      <c r="AX95" s="33">
        <f t="shared" si="6"/>
        <v>-5.113185089255408</v>
      </c>
      <c r="AY95" s="33">
        <f t="shared" si="6"/>
        <v>-3.3433423637524005</v>
      </c>
      <c r="AZ95" s="33">
        <f t="shared" si="6"/>
        <v>-4.5903651182706504</v>
      </c>
      <c r="BA95" s="33">
        <f t="shared" si="6"/>
        <v>-3.3685987969953581</v>
      </c>
      <c r="BB95" s="33">
        <f t="shared" si="6"/>
        <v>-4.2649415909049271</v>
      </c>
      <c r="BC95" s="33">
        <f t="shared" si="6"/>
        <v>-3.3933760225139378</v>
      </c>
      <c r="BD95" s="33">
        <f t="shared" si="6"/>
        <v>-4.1026371374587383</v>
      </c>
      <c r="BE95" s="33">
        <f t="shared" si="6"/>
        <v>-3.417726801502905</v>
      </c>
      <c r="BF95" s="33">
        <f t="shared" si="6"/>
        <v>-3.9994471505752736</v>
      </c>
      <c r="BG95" s="33">
        <f t="shared" si="6"/>
        <v>-3.4416994048720877</v>
      </c>
      <c r="BH95" s="33">
        <f t="shared" si="6"/>
        <v>-3.9268424472932555</v>
      </c>
      <c r="BI95" s="33">
        <f t="shared" si="6"/>
        <v>-3.4653383046083484</v>
      </c>
      <c r="BJ95" s="33">
        <f t="shared" si="6"/>
        <v>-3.8728292193738194</v>
      </c>
      <c r="BK95" s="33">
        <f t="shared" si="6"/>
        <v>-3.4886847604235318</v>
      </c>
      <c r="BL95" s="33">
        <f t="shared" si="6"/>
        <v>-3.8312315783194357</v>
      </c>
      <c r="BM95" s="33">
        <f t="shared" si="6"/>
        <v>-3.5117773228540621</v>
      </c>
      <c r="BN95" s="33">
        <f t="shared" si="6"/>
        <v>-3.7984559979430319</v>
      </c>
      <c r="BO95" s="33">
        <f t="shared" si="6"/>
        <v>-3.5346522692686113</v>
      </c>
      <c r="BP95" s="33">
        <f t="shared" ref="BP95:CW95" si="7">LOG(ABS(BP71-$CY71))</f>
        <v>-3.7722318192055875</v>
      </c>
      <c r="BQ95" s="33">
        <f t="shared" si="7"/>
        <v>-3.5573439863348124</v>
      </c>
      <c r="BR95" s="33">
        <f t="shared" si="7"/>
        <v>-3.7510361840991613</v>
      </c>
      <c r="BS95" s="33">
        <f t="shared" si="7"/>
        <v>-3.5798853093182688</v>
      </c>
      <c r="BT95" s="33">
        <f t="shared" si="7"/>
        <v>-3.7338006151817802</v>
      </c>
      <c r="BU95" s="33">
        <f t="shared" si="7"/>
        <v>-3.6023078276300753</v>
      </c>
      <c r="BV95" s="33">
        <f t="shared" si="7"/>
        <v>-3.7197484421581306</v>
      </c>
      <c r="BW95" s="33">
        <f t="shared" si="7"/>
        <v>-3.6246421640959383</v>
      </c>
      <c r="BX95" s="33">
        <f t="shared" si="7"/>
        <v>-3.7082987945627317</v>
      </c>
      <c r="BY95" s="33">
        <f t="shared" si="7"/>
        <v>-3.6469182336778281</v>
      </c>
      <c r="BZ95" s="33">
        <f t="shared" si="7"/>
        <v>-3.6990069434435555</v>
      </c>
      <c r="CA95" s="33">
        <f t="shared" si="7"/>
        <v>-3.6691654885256098</v>
      </c>
      <c r="CB95" s="33">
        <f t="shared" si="7"/>
        <v>-3.6915256534724898</v>
      </c>
      <c r="CC95" s="33">
        <f t="shared" si="7"/>
        <v>-3.6914131533413039</v>
      </c>
      <c r="CD95" s="33">
        <f t="shared" si="7"/>
        <v>-3.6855792619175931</v>
      </c>
      <c r="CE95" s="33">
        <f t="shared" si="7"/>
        <v>-3.7136904562384334</v>
      </c>
      <c r="CF95" s="33">
        <f t="shared" si="7"/>
        <v>-3.6809457750886647</v>
      </c>
      <c r="CG95" s="33">
        <f t="shared" si="7"/>
        <v>-3.7360268599371569</v>
      </c>
      <c r="CH95" s="33">
        <f t="shared" si="7"/>
        <v>-3.6774441867760466</v>
      </c>
      <c r="CI95" s="33">
        <f t="shared" si="7"/>
        <v>-3.7584522972956185</v>
      </c>
      <c r="CJ95" s="33">
        <f t="shared" si="7"/>
        <v>-3.6749252971471815</v>
      </c>
      <c r="CK95" s="33">
        <f t="shared" si="7"/>
        <v>-3.7809974165883755</v>
      </c>
      <c r="CL95" s="33">
        <f t="shared" si="7"/>
        <v>-3.6732649378415898</v>
      </c>
      <c r="CM95" s="33">
        <f t="shared" si="7"/>
        <v>-3.8036938410029273</v>
      </c>
      <c r="CN95" s="33">
        <f t="shared" si="7"/>
        <v>-3.6723588867482237</v>
      </c>
      <c r="CO95" s="33">
        <f t="shared" si="7"/>
        <v>-3.8265744486611712</v>
      </c>
      <c r="CP95" s="33">
        <f t="shared" si="7"/>
        <v>-3.6721189941022008</v>
      </c>
      <c r="CQ95" s="33">
        <f t="shared" si="7"/>
        <v>-3.8496736789309787</v>
      </c>
      <c r="CR95" s="33">
        <f t="shared" si="7"/>
        <v>-3.6724701909788413</v>
      </c>
      <c r="CS95" s="33">
        <f t="shared" si="7"/>
        <v>-3.8730278731513956</v>
      </c>
      <c r="CT95" s="33">
        <f t="shared" si="7"/>
        <v>-3.673348151313359</v>
      </c>
      <c r="CU95" s="33">
        <f t="shared" si="7"/>
        <v>-3.8966756588523492</v>
      </c>
      <c r="CV95" s="33">
        <f t="shared" si="7"/>
        <v>-3.6746974444478493</v>
      </c>
      <c r="CW95" s="33">
        <f t="shared" si="7"/>
        <v>-3.9206583874862169</v>
      </c>
    </row>
    <row r="96" spans="1:101" ht="20.350000000000001" customHeight="1" thickTop="1" thickBot="1" x14ac:dyDescent="0.5">
      <c r="A96" s="20"/>
      <c r="B96" s="20"/>
      <c r="C96" s="20"/>
      <c r="D96" s="20"/>
      <c r="E96" s="20"/>
      <c r="F96" s="20"/>
      <c r="G96" s="20"/>
      <c r="H96" s="20"/>
      <c r="I96" s="20"/>
      <c r="J96" s="20"/>
      <c r="K96" s="20"/>
      <c r="L96" s="20"/>
      <c r="M96" s="20"/>
      <c r="N96" s="20"/>
      <c r="O96" s="20"/>
      <c r="AQ96" s="24"/>
    </row>
    <row r="97" spans="1:101" ht="20.350000000000001" customHeight="1" thickTop="1" thickBot="1" x14ac:dyDescent="0.5">
      <c r="A97" s="35" t="s">
        <v>22</v>
      </c>
      <c r="B97" s="20"/>
      <c r="C97" s="33">
        <f>LOG(ABS(C$73-$CY$73))</f>
        <v>-1.8231220348953281</v>
      </c>
      <c r="D97" s="33">
        <f t="shared" ref="D97:BO97" si="8">LOG(ABS(D$73-$CY$73))</f>
        <v>-2.7103787461019033</v>
      </c>
      <c r="E97" s="33">
        <f t="shared" si="8"/>
        <v>-2.1064771369441804</v>
      </c>
      <c r="F97" s="33">
        <f t="shared" si="8"/>
        <v>-3.0435673832519465</v>
      </c>
      <c r="G97" s="33">
        <f t="shared" si="8"/>
        <v>-2.2816132282466071</v>
      </c>
      <c r="H97" s="33">
        <f t="shared" si="8"/>
        <v>-3.2698306979326031</v>
      </c>
      <c r="I97" s="33">
        <f t="shared" si="8"/>
        <v>-2.4093145637437687</v>
      </c>
      <c r="J97" s="33">
        <f t="shared" si="8"/>
        <v>-3.4543087963183456</v>
      </c>
      <c r="K97" s="33">
        <f t="shared" si="8"/>
        <v>-2.5103953182733569</v>
      </c>
      <c r="L97" s="33">
        <f t="shared" si="8"/>
        <v>-3.6213168708668846</v>
      </c>
      <c r="M97" s="33">
        <f t="shared" si="8"/>
        <v>-2.5944524471044992</v>
      </c>
      <c r="N97" s="33">
        <f t="shared" si="8"/>
        <v>-3.7847598166189553</v>
      </c>
      <c r="O97" s="33">
        <f t="shared" si="8"/>
        <v>-2.6666992236068228</v>
      </c>
      <c r="P97" s="33">
        <f t="shared" si="8"/>
        <v>-3.9568219501141861</v>
      </c>
      <c r="Q97" s="33">
        <f t="shared" si="8"/>
        <v>-2.7302827074110425</v>
      </c>
      <c r="R97" s="33">
        <f t="shared" si="8"/>
        <v>-4.1542091915883148</v>
      </c>
      <c r="S97" s="33">
        <f t="shared" si="8"/>
        <v>-2.7872486189622734</v>
      </c>
      <c r="T97" s="33">
        <f t="shared" si="8"/>
        <v>-4.4123783947337261</v>
      </c>
      <c r="U97" s="33">
        <f t="shared" si="8"/>
        <v>-2.8390019230276353</v>
      </c>
      <c r="V97" s="33">
        <f t="shared" si="8"/>
        <v>-4.8687749786235752</v>
      </c>
      <c r="W97" s="33">
        <f t="shared" si="8"/>
        <v>-2.8865494641123277</v>
      </c>
      <c r="X97" s="33">
        <f t="shared" si="8"/>
        <v>-5.1499064213302228</v>
      </c>
      <c r="Y97" s="33">
        <f t="shared" si="8"/>
        <v>-2.9306377116307636</v>
      </c>
      <c r="Z97" s="33">
        <f t="shared" si="8"/>
        <v>-4.6149473907061793</v>
      </c>
      <c r="AA97" s="33">
        <f t="shared" si="8"/>
        <v>-2.971835697206779</v>
      </c>
      <c r="AB97" s="33">
        <f t="shared" si="8"/>
        <v>-4.4109089590821275</v>
      </c>
      <c r="AC97" s="33">
        <f t="shared" si="8"/>
        <v>-3.0105873852138401</v>
      </c>
      <c r="AD97" s="33">
        <f t="shared" si="8"/>
        <v>-4.2898321013180505</v>
      </c>
      <c r="AE97" s="33">
        <f t="shared" si="8"/>
        <v>-3.0472460682786493</v>
      </c>
      <c r="AF97" s="33">
        <f t="shared" si="8"/>
        <v>-4.2066958645489594</v>
      </c>
      <c r="AG97" s="33">
        <f t="shared" si="8"/>
        <v>-3.0820977169729855</v>
      </c>
      <c r="AH97" s="33">
        <f t="shared" si="8"/>
        <v>-4.1450477844778719</v>
      </c>
      <c r="AI97" s="33">
        <f t="shared" si="8"/>
        <v>-3.1153772849140817</v>
      </c>
      <c r="AJ97" s="33">
        <f t="shared" si="8"/>
        <v>-4.0970652462173343</v>
      </c>
      <c r="AK97" s="33">
        <f t="shared" si="8"/>
        <v>-3.1472803760108841</v>
      </c>
      <c r="AL97" s="33">
        <f t="shared" si="8"/>
        <v>-4.0584393661044125</v>
      </c>
      <c r="AM97" s="33">
        <f t="shared" si="8"/>
        <v>-3.1779717731174508</v>
      </c>
      <c r="AN97" s="33">
        <f t="shared" si="8"/>
        <v>-4.0265589336556271</v>
      </c>
      <c r="AO97" s="33">
        <f t="shared" si="8"/>
        <v>-3.2075917910605591</v>
      </c>
      <c r="AP97" s="33">
        <f t="shared" si="8"/>
        <v>-3.9997311314587205</v>
      </c>
      <c r="AQ97" s="33">
        <f t="shared" si="8"/>
        <v>-3.2362610891531287</v>
      </c>
      <c r="AR97" s="33">
        <f t="shared" si="8"/>
        <v>-3.9768018054184409</v>
      </c>
      <c r="AS97" s="33">
        <f t="shared" si="8"/>
        <v>-3.2640843723466149</v>
      </c>
      <c r="AT97" s="33">
        <f t="shared" si="8"/>
        <v>-4.0346596687502148</v>
      </c>
      <c r="AU97" s="33">
        <f t="shared" si="8"/>
        <v>-3.2911532768925729</v>
      </c>
      <c r="AV97" s="33">
        <f t="shared" si="8"/>
        <v>-4.3307565057869972</v>
      </c>
      <c r="AW97" s="33">
        <f t="shared" si="8"/>
        <v>-3.3175486487848627</v>
      </c>
      <c r="AX97" s="33">
        <f t="shared" si="8"/>
        <v>-5.1131850894149666</v>
      </c>
      <c r="AY97" s="33">
        <f t="shared" si="8"/>
        <v>-3.3433423637458097</v>
      </c>
      <c r="AZ97" s="33">
        <f t="shared" si="8"/>
        <v>-4.5903651183297889</v>
      </c>
      <c r="BA97" s="33">
        <f t="shared" si="8"/>
        <v>-3.368598796991471</v>
      </c>
      <c r="BB97" s="33">
        <f t="shared" si="8"/>
        <v>-4.2649415909328816</v>
      </c>
      <c r="BC97" s="33">
        <f t="shared" si="8"/>
        <v>-3.3933760225148322</v>
      </c>
      <c r="BD97" s="33">
        <f t="shared" si="8"/>
        <v>-4.1026371374370587</v>
      </c>
      <c r="BE97" s="33">
        <f t="shared" si="8"/>
        <v>-3.4177268015100331</v>
      </c>
      <c r="BF97" s="33">
        <f t="shared" si="8"/>
        <v>-3.9994471505709397</v>
      </c>
      <c r="BG97" s="33">
        <f t="shared" si="8"/>
        <v>-3.4416994048714877</v>
      </c>
      <c r="BH97" s="33">
        <f t="shared" si="8"/>
        <v>-3.9268424472881631</v>
      </c>
      <c r="BI97" s="33">
        <f t="shared" si="8"/>
        <v>-3.4653383046040549</v>
      </c>
      <c r="BJ97" s="33">
        <f t="shared" si="8"/>
        <v>-3.8728292193597884</v>
      </c>
      <c r="BK97" s="33">
        <f t="shared" si="8"/>
        <v>-3.4886847604164757</v>
      </c>
      <c r="BL97" s="33">
        <f t="shared" si="8"/>
        <v>-3.8312315783354545</v>
      </c>
      <c r="BM97" s="33">
        <f t="shared" si="8"/>
        <v>-3.5117773228510072</v>
      </c>
      <c r="BN97" s="33">
        <f t="shared" si="8"/>
        <v>-3.7984559979698602</v>
      </c>
      <c r="BO97" s="33">
        <f t="shared" si="8"/>
        <v>-3.5346522692725748</v>
      </c>
      <c r="BP97" s="33">
        <f t="shared" ref="BP97:CW97" si="9">LOG(ABS(BP$73-$CY$73))</f>
        <v>-3.772231819193316</v>
      </c>
      <c r="BQ97" s="33">
        <f t="shared" si="9"/>
        <v>-3.5573439863396845</v>
      </c>
      <c r="BR97" s="33">
        <f t="shared" si="9"/>
        <v>-3.7510361840961717</v>
      </c>
      <c r="BS97" s="33">
        <f t="shared" si="9"/>
        <v>-3.5798853093111216</v>
      </c>
      <c r="BT97" s="33">
        <f t="shared" si="9"/>
        <v>-3.7338006152054199</v>
      </c>
      <c r="BU97" s="33">
        <f t="shared" si="9"/>
        <v>-3.6023078276491796</v>
      </c>
      <c r="BV97" s="33">
        <f t="shared" si="9"/>
        <v>-3.7197484421539575</v>
      </c>
      <c r="BW97" s="33">
        <f t="shared" si="9"/>
        <v>-3.6246421640865929</v>
      </c>
      <c r="BX97" s="33">
        <f t="shared" si="9"/>
        <v>-3.7082987945448735</v>
      </c>
      <c r="BY97" s="33">
        <f t="shared" si="9"/>
        <v>-3.6469182336726957</v>
      </c>
      <c r="BZ97" s="33">
        <f t="shared" si="9"/>
        <v>-3.6990069434300539</v>
      </c>
      <c r="CA97" s="33">
        <f t="shared" si="9"/>
        <v>-3.6691654885378773</v>
      </c>
      <c r="CB97" s="33">
        <f t="shared" si="9"/>
        <v>-3.6915256534710679</v>
      </c>
      <c r="CC97" s="33">
        <f t="shared" si="9"/>
        <v>-3.6914131533608501</v>
      </c>
      <c r="CD97" s="33">
        <f t="shared" si="9"/>
        <v>-3.6855792619289307</v>
      </c>
      <c r="CE97" s="33">
        <f t="shared" si="9"/>
        <v>-3.7136904562391817</v>
      </c>
      <c r="CF97" s="33">
        <f t="shared" si="9"/>
        <v>-3.6809457750823045</v>
      </c>
      <c r="CG97" s="33">
        <f t="shared" si="9"/>
        <v>-3.7360268599303308</v>
      </c>
      <c r="CH97" s="33">
        <f t="shared" si="9"/>
        <v>-3.6774441867384211</v>
      </c>
      <c r="CI97" s="33">
        <f t="shared" si="9"/>
        <v>-3.7584522972992125</v>
      </c>
      <c r="CJ97" s="33">
        <f t="shared" si="9"/>
        <v>-3.6749252971519715</v>
      </c>
      <c r="CK97" s="33">
        <f t="shared" si="9"/>
        <v>-3.7809974165726508</v>
      </c>
      <c r="CL97" s="33">
        <f t="shared" si="9"/>
        <v>-3.6732649378397717</v>
      </c>
      <c r="CM97" s="33">
        <f t="shared" si="9"/>
        <v>-3.8036938410308485</v>
      </c>
      <c r="CN97" s="33">
        <f t="shared" si="9"/>
        <v>-3.6723588867494708</v>
      </c>
      <c r="CO97" s="33">
        <f t="shared" si="9"/>
        <v>-3.8265744486631115</v>
      </c>
      <c r="CP97" s="33">
        <f t="shared" si="9"/>
        <v>-3.6721189940939287</v>
      </c>
      <c r="CQ97" s="33">
        <f t="shared" si="9"/>
        <v>-3.8496736788972106</v>
      </c>
      <c r="CR97" s="33">
        <f t="shared" si="9"/>
        <v>-3.6724701909807691</v>
      </c>
      <c r="CS97" s="33">
        <f t="shared" si="9"/>
        <v>-3.8730278731535552</v>
      </c>
      <c r="CT97" s="33">
        <f t="shared" si="9"/>
        <v>-3.6733481513025636</v>
      </c>
      <c r="CU97" s="33">
        <f t="shared" si="9"/>
        <v>-3.8966756588719229</v>
      </c>
      <c r="CV97" s="33">
        <f t="shared" si="9"/>
        <v>-3.6746974444492171</v>
      </c>
      <c r="CW97" s="33">
        <f t="shared" si="9"/>
        <v>-3.9206583874910366</v>
      </c>
    </row>
    <row r="98" spans="1:101" ht="20.350000000000001" customHeight="1" thickTop="1" x14ac:dyDescent="0.45">
      <c r="AQ98" s="24"/>
    </row>
    <row r="99" spans="1:101" ht="20.350000000000001" customHeight="1" x14ac:dyDescent="0.45">
      <c r="AQ99" s="24"/>
    </row>
    <row r="100" spans="1:101" ht="20.350000000000001" customHeight="1" x14ac:dyDescent="0.45">
      <c r="AQ100" s="24"/>
    </row>
    <row r="101" spans="1:101" ht="20.350000000000001" customHeight="1" x14ac:dyDescent="0.45">
      <c r="AQ101" s="24"/>
    </row>
    <row r="102" spans="1:101" ht="20.350000000000001" customHeight="1" x14ac:dyDescent="0.45">
      <c r="AQ102" s="24"/>
    </row>
    <row r="103" spans="1:101" ht="20.350000000000001" customHeight="1" x14ac:dyDescent="0.45">
      <c r="AQ103" s="24"/>
    </row>
    <row r="104" spans="1:101" ht="20.350000000000001" customHeight="1" x14ac:dyDescent="0.45">
      <c r="AQ104" s="24"/>
    </row>
    <row r="105" spans="1:101" ht="20.350000000000001" customHeight="1" x14ac:dyDescent="0.45">
      <c r="AQ105" s="24"/>
    </row>
    <row r="106" spans="1:101" ht="20.350000000000001" customHeight="1" x14ac:dyDescent="0.45">
      <c r="AQ106" s="24"/>
    </row>
    <row r="107" spans="1:101" ht="20.350000000000001" customHeight="1" x14ac:dyDescent="0.45">
      <c r="AQ107" s="24"/>
    </row>
    <row r="108" spans="1:101" ht="20.350000000000001" customHeight="1" x14ac:dyDescent="0.45">
      <c r="AQ108" s="24"/>
    </row>
    <row r="109" spans="1:101" ht="20.350000000000001" customHeight="1" x14ac:dyDescent="0.45">
      <c r="AQ109" s="24"/>
    </row>
    <row r="110" spans="1:101" ht="20.350000000000001" customHeight="1" x14ac:dyDescent="0.45">
      <c r="AQ110" s="24"/>
    </row>
    <row r="111" spans="1:101" ht="20.350000000000001" customHeight="1" x14ac:dyDescent="0.45">
      <c r="AQ111" s="24"/>
    </row>
    <row r="112" spans="1:101" ht="20.350000000000001" customHeight="1" x14ac:dyDescent="0.45">
      <c r="AQ112" s="24"/>
    </row>
    <row r="113" spans="1:43" ht="20.350000000000001" customHeight="1" x14ac:dyDescent="0.45">
      <c r="AQ113" s="24"/>
    </row>
    <row r="114" spans="1:43" ht="20.350000000000001" customHeight="1" x14ac:dyDescent="0.45">
      <c r="AQ114" s="24"/>
    </row>
    <row r="115" spans="1:43" ht="20.350000000000001" customHeight="1" x14ac:dyDescent="0.45">
      <c r="AQ115" s="24"/>
    </row>
    <row r="116" spans="1:43" ht="20.350000000000001" customHeight="1" x14ac:dyDescent="0.45">
      <c r="AQ116" s="24"/>
    </row>
    <row r="117" spans="1:43" ht="20.350000000000001" customHeight="1" x14ac:dyDescent="0.45">
      <c r="AQ117" s="24"/>
    </row>
    <row r="118" spans="1:43" ht="20.350000000000001" customHeight="1" x14ac:dyDescent="0.45">
      <c r="AQ118" s="24"/>
    </row>
    <row r="119" spans="1:43" ht="46.9" x14ac:dyDescent="0.45">
      <c r="A119" s="48" t="s">
        <v>25</v>
      </c>
      <c r="AQ119" s="24"/>
    </row>
    <row r="120" spans="1:43" ht="20.350000000000001" customHeight="1" thickBot="1" x14ac:dyDescent="0.5">
      <c r="AQ120" s="24"/>
    </row>
    <row r="121" spans="1:43" ht="20.350000000000001" customHeight="1" thickTop="1" thickBot="1" x14ac:dyDescent="0.5">
      <c r="A121" s="42" t="s">
        <v>27</v>
      </c>
      <c r="B121" s="14" t="s">
        <v>28</v>
      </c>
      <c r="O121" s="44"/>
      <c r="Z121" s="45" t="s">
        <v>65</v>
      </c>
      <c r="AQ121" s="24"/>
    </row>
    <row r="122" spans="1:43" ht="20.350000000000001" customHeight="1" thickTop="1" thickBot="1" x14ac:dyDescent="0.5">
      <c r="E122" s="88"/>
      <c r="F122" s="88"/>
      <c r="G122" s="88"/>
      <c r="H122" s="34"/>
      <c r="O122" s="44"/>
      <c r="Z122" s="45" t="s">
        <v>66</v>
      </c>
      <c r="AQ122" s="24"/>
    </row>
    <row r="123" spans="1:43" ht="20.350000000000001" customHeight="1" thickTop="1" thickBot="1" x14ac:dyDescent="0.5">
      <c r="A123" s="8" t="s">
        <v>0</v>
      </c>
      <c r="B123" s="6"/>
      <c r="C123" s="7"/>
      <c r="E123" s="71"/>
      <c r="F123" s="72"/>
      <c r="G123" s="73"/>
      <c r="H123" s="89"/>
      <c r="O123" s="44"/>
      <c r="Z123" s="45" t="s">
        <v>28</v>
      </c>
      <c r="AQ123" s="24"/>
    </row>
    <row r="124" spans="1:43" ht="20.350000000000001" customHeight="1" thickTop="1" thickBot="1" x14ac:dyDescent="0.5">
      <c r="A124" s="14" t="s">
        <v>1</v>
      </c>
      <c r="B124" s="15" t="s">
        <v>14</v>
      </c>
      <c r="C124" s="15">
        <v>100</v>
      </c>
      <c r="E124" s="74"/>
      <c r="F124" s="75"/>
      <c r="G124" s="76"/>
      <c r="H124" s="89"/>
      <c r="O124" s="44"/>
      <c r="Z124" s="45" t="s">
        <v>67</v>
      </c>
      <c r="AQ124" s="24"/>
    </row>
    <row r="125" spans="1:43" ht="20.350000000000001" customHeight="1" thickTop="1" thickBot="1" x14ac:dyDescent="0.5">
      <c r="A125" s="14" t="s">
        <v>2</v>
      </c>
      <c r="B125" s="14" t="s">
        <v>3</v>
      </c>
      <c r="C125" s="14">
        <v>0.05</v>
      </c>
      <c r="E125" s="74"/>
      <c r="F125" s="75"/>
      <c r="G125" s="76"/>
      <c r="H125" s="89"/>
      <c r="O125" s="44"/>
      <c r="Z125" s="45" t="s">
        <v>68</v>
      </c>
      <c r="AD125" s="1"/>
      <c r="AE125" s="1"/>
      <c r="AF125" s="1"/>
      <c r="AG125" s="1"/>
      <c r="AQ125" s="24"/>
    </row>
    <row r="126" spans="1:43" ht="20.350000000000001" customHeight="1" thickTop="1" thickBot="1" x14ac:dyDescent="0.5">
      <c r="A126" s="14" t="s">
        <v>4</v>
      </c>
      <c r="B126" s="14" t="s">
        <v>5</v>
      </c>
      <c r="C126" s="14">
        <v>0.2</v>
      </c>
      <c r="E126" s="74"/>
      <c r="F126" s="75"/>
      <c r="G126" s="76"/>
      <c r="H126" s="89"/>
      <c r="O126" s="44"/>
      <c r="Z126" s="45" t="s">
        <v>69</v>
      </c>
      <c r="AD126" s="1"/>
      <c r="AE126" s="1"/>
      <c r="AF126" s="1"/>
      <c r="AG126" s="1"/>
      <c r="AQ126" s="24"/>
    </row>
    <row r="127" spans="1:43" ht="20.350000000000001" customHeight="1" thickTop="1" thickBot="1" x14ac:dyDescent="0.5">
      <c r="A127" s="14" t="s">
        <v>6</v>
      </c>
      <c r="B127" s="14" t="s">
        <v>7</v>
      </c>
      <c r="C127" s="14">
        <v>1</v>
      </c>
      <c r="E127" s="74"/>
      <c r="F127" s="75"/>
      <c r="G127" s="76"/>
      <c r="H127" s="89"/>
      <c r="O127" s="44"/>
      <c r="Z127" s="45" t="s">
        <v>70</v>
      </c>
      <c r="AD127" s="44"/>
      <c r="AE127" s="1"/>
      <c r="AF127" s="1"/>
      <c r="AG127" s="1"/>
      <c r="AQ127" s="24"/>
    </row>
    <row r="128" spans="1:43" ht="20.350000000000001" customHeight="1" thickTop="1" thickBot="1" x14ac:dyDescent="0.5">
      <c r="A128" s="14" t="str">
        <f>IF(OR(B121="Double-Digital",
       B121="Bull Spread",
       B121="Bear Spread",
       B121="Strangle",
       B121="Butterfly"),
    "Strike inf",
    "Strike")</f>
        <v>Strike inf</v>
      </c>
      <c r="B128" s="14" t="str">
        <f>IF(OR(B121="Double-Digital",
       B121="Bull Spread",
       B121="Bear Spread",
       B121="Strangle",
       B121="Butterfly"), "K"&amp;_xlfn.UNICHAR(8321), "K")</f>
        <v>K₁</v>
      </c>
      <c r="C128" s="14">
        <v>100</v>
      </c>
      <c r="E128" s="74"/>
      <c r="F128" s="75"/>
      <c r="G128" s="76"/>
      <c r="H128" s="89"/>
      <c r="Z128" s="46" t="s">
        <v>79</v>
      </c>
      <c r="AD128" s="44"/>
      <c r="AE128" s="1"/>
      <c r="AF128" s="1"/>
      <c r="AG128" s="1"/>
      <c r="AQ128" s="24"/>
    </row>
    <row r="129" spans="1:43" ht="20.350000000000001" customHeight="1" thickTop="1" thickBot="1" x14ac:dyDescent="0.5">
      <c r="A129" s="14" t="s">
        <v>8</v>
      </c>
      <c r="B129" s="14" t="s">
        <v>9</v>
      </c>
      <c r="C129" s="14">
        <v>10</v>
      </c>
      <c r="E129" s="77"/>
      <c r="F129" s="78"/>
      <c r="G129" s="79"/>
      <c r="H129" s="89"/>
      <c r="Z129" s="46" t="s">
        <v>80</v>
      </c>
      <c r="AD129" s="44"/>
      <c r="AE129" s="1"/>
      <c r="AF129" s="1"/>
      <c r="AG129" s="1"/>
      <c r="AQ129" s="24"/>
    </row>
    <row r="130" spans="1:43" ht="20.350000000000001" customHeight="1" thickTop="1" thickBot="1" x14ac:dyDescent="0.5">
      <c r="A130" s="14" t="s">
        <v>26</v>
      </c>
      <c r="B130" s="14" t="s">
        <v>29</v>
      </c>
      <c r="C130" s="14">
        <v>120</v>
      </c>
      <c r="E130" s="28"/>
      <c r="F130" s="28"/>
      <c r="G130" s="28"/>
      <c r="H130" s="34"/>
      <c r="Z130" s="46" t="s">
        <v>83</v>
      </c>
      <c r="AD130" s="44"/>
      <c r="AE130" s="1"/>
      <c r="AF130" s="1"/>
      <c r="AG130" s="1"/>
      <c r="AQ130" s="24"/>
    </row>
    <row r="131" spans="1:43" ht="20.350000000000001" customHeight="1" thickTop="1" x14ac:dyDescent="0.45">
      <c r="Z131" s="46" t="s">
        <v>84</v>
      </c>
      <c r="AD131" s="1"/>
      <c r="AE131" s="1"/>
      <c r="AF131" s="1"/>
      <c r="AG131" s="1"/>
      <c r="AQ131" s="24"/>
    </row>
    <row r="132" spans="1:43" ht="20.350000000000001" customHeight="1" x14ac:dyDescent="0.45">
      <c r="Z132" s="46" t="s">
        <v>81</v>
      </c>
      <c r="AD132" s="1"/>
      <c r="AE132" s="1"/>
      <c r="AF132" s="1"/>
      <c r="AG132" s="1"/>
      <c r="AQ132" s="24"/>
    </row>
    <row r="133" spans="1:43" ht="20.350000000000001" customHeight="1" x14ac:dyDescent="0.45">
      <c r="Z133" s="46" t="s">
        <v>82</v>
      </c>
      <c r="AQ133" s="24"/>
    </row>
    <row r="134" spans="1:43" ht="20.350000000000001" customHeight="1" x14ac:dyDescent="0.45">
      <c r="Z134" s="46" t="s">
        <v>34</v>
      </c>
      <c r="AQ134" s="24"/>
    </row>
    <row r="135" spans="1:43" ht="20.350000000000001" customHeight="1" x14ac:dyDescent="0.45">
      <c r="Z135" s="46" t="s">
        <v>35</v>
      </c>
      <c r="AQ135" s="24"/>
    </row>
    <row r="136" spans="1:43" ht="20.350000000000001" customHeight="1" x14ac:dyDescent="0.45">
      <c r="AQ136" s="24"/>
    </row>
    <row r="137" spans="1:43" ht="20.350000000000001" customHeight="1" x14ac:dyDescent="0.45">
      <c r="AQ137" s="24"/>
    </row>
    <row r="138" spans="1:43" ht="20.350000000000001" customHeight="1" x14ac:dyDescent="0.45">
      <c r="AQ138" s="24"/>
    </row>
    <row r="139" spans="1:43" ht="20.350000000000001" customHeight="1" x14ac:dyDescent="0.45">
      <c r="AQ139" s="24"/>
    </row>
    <row r="140" spans="1:43" ht="20.350000000000001" customHeight="1" x14ac:dyDescent="0.45">
      <c r="AQ140" s="24"/>
    </row>
    <row r="141" spans="1:43" ht="20.350000000000001" customHeight="1" x14ac:dyDescent="0.45">
      <c r="AQ141" s="24"/>
    </row>
    <row r="142" spans="1:43" ht="20.350000000000001" customHeight="1" x14ac:dyDescent="0.45">
      <c r="AQ142" s="24"/>
    </row>
    <row r="143" spans="1:43" ht="20.350000000000001" customHeight="1" x14ac:dyDescent="0.45">
      <c r="AQ143" s="24"/>
    </row>
    <row r="144" spans="1:43" ht="20.350000000000001" customHeight="1" x14ac:dyDescent="0.45">
      <c r="AQ144" s="24"/>
    </row>
    <row r="145" spans="43:43" ht="20.350000000000001" customHeight="1" x14ac:dyDescent="0.45">
      <c r="AQ145" s="24"/>
    </row>
    <row r="146" spans="43:43" ht="20.350000000000001" customHeight="1" x14ac:dyDescent="0.45">
      <c r="AQ146" s="24"/>
    </row>
    <row r="147" spans="43:43" ht="20.350000000000001" customHeight="1" x14ac:dyDescent="0.45">
      <c r="AQ147" s="24"/>
    </row>
    <row r="148" spans="43:43" ht="20.350000000000001" customHeight="1" x14ac:dyDescent="0.45">
      <c r="AQ148" s="24"/>
    </row>
    <row r="149" spans="43:43" ht="20.350000000000001" customHeight="1" x14ac:dyDescent="0.45">
      <c r="AQ149" s="24"/>
    </row>
    <row r="150" spans="43:43" ht="20.350000000000001" customHeight="1" x14ac:dyDescent="0.45">
      <c r="AQ150" s="24"/>
    </row>
    <row r="151" spans="43:43" ht="20.350000000000001" customHeight="1" x14ac:dyDescent="0.45">
      <c r="AQ151" s="24"/>
    </row>
    <row r="152" spans="43:43" ht="20.350000000000001" customHeight="1" x14ac:dyDescent="0.45">
      <c r="AQ152" s="24"/>
    </row>
    <row r="153" spans="43:43" ht="20.350000000000001" customHeight="1" x14ac:dyDescent="0.45">
      <c r="AQ153" s="24"/>
    </row>
    <row r="154" spans="43:43" ht="20.350000000000001" customHeight="1" x14ac:dyDescent="0.45">
      <c r="AQ154" s="24"/>
    </row>
    <row r="155" spans="43:43" ht="20.350000000000001" customHeight="1" x14ac:dyDescent="0.45">
      <c r="AQ155" s="24"/>
    </row>
    <row r="156" spans="43:43" ht="20.350000000000001" customHeight="1" x14ac:dyDescent="0.45">
      <c r="AQ156" s="24"/>
    </row>
    <row r="157" spans="43:43" ht="20.350000000000001" customHeight="1" x14ac:dyDescent="0.45">
      <c r="AQ157" s="24"/>
    </row>
    <row r="158" spans="43:43" ht="20.350000000000001" customHeight="1" x14ac:dyDescent="0.45">
      <c r="AQ158" s="24"/>
    </row>
    <row r="159" spans="43:43" ht="20.350000000000001" customHeight="1" x14ac:dyDescent="0.45">
      <c r="AQ159" s="24"/>
    </row>
    <row r="160" spans="43:43" ht="20.350000000000001" customHeight="1" x14ac:dyDescent="0.45">
      <c r="AQ160" s="24"/>
    </row>
    <row r="161" spans="3:111" ht="20.350000000000001" customHeight="1" x14ac:dyDescent="0.45">
      <c r="AQ161" s="24"/>
    </row>
    <row r="162" spans="3:111" ht="20.350000000000001" customHeight="1" x14ac:dyDescent="0.45">
      <c r="AQ162" s="24"/>
    </row>
    <row r="163" spans="3:111" ht="20.350000000000001" customHeight="1" x14ac:dyDescent="0.45">
      <c r="AQ163" s="24"/>
    </row>
    <row r="164" spans="3:111" ht="20.350000000000001" customHeight="1" x14ac:dyDescent="0.45">
      <c r="AQ164" s="24"/>
    </row>
    <row r="165" spans="3:111" ht="20.350000000000001" customHeight="1" x14ac:dyDescent="0.45">
      <c r="AQ165" s="24"/>
    </row>
    <row r="166" spans="3:111" ht="20.350000000000001" customHeight="1" x14ac:dyDescent="0.45">
      <c r="AQ166" s="24"/>
    </row>
    <row r="167" spans="3:111" ht="20.350000000000001" customHeight="1" x14ac:dyDescent="0.45">
      <c r="AQ167" s="24"/>
    </row>
    <row r="168" spans="3:111" ht="20.350000000000001" customHeight="1" x14ac:dyDescent="0.45">
      <c r="AQ168" s="24"/>
    </row>
    <row r="169" spans="3:111" ht="20.350000000000001" customHeight="1" x14ac:dyDescent="0.45">
      <c r="AQ169" s="24"/>
    </row>
    <row r="170" spans="3:111" ht="20.350000000000001" customHeight="1" x14ac:dyDescent="0.45">
      <c r="AQ170" s="24"/>
    </row>
    <row r="171" spans="3:111" ht="20.350000000000001" customHeight="1" x14ac:dyDescent="0.45">
      <c r="AQ171" s="24"/>
    </row>
    <row r="172" spans="3:111" ht="20.350000000000001" customHeight="1" x14ac:dyDescent="0.45">
      <c r="AQ172" s="24"/>
    </row>
    <row r="173" spans="3:111" ht="20.350000000000001" customHeight="1" x14ac:dyDescent="0.45">
      <c r="AQ173" s="24"/>
    </row>
    <row r="174" spans="3:111" ht="20.350000000000001" customHeight="1" x14ac:dyDescent="0.45">
      <c r="C174" s="43" t="s">
        <v>47</v>
      </c>
      <c r="D174" s="43"/>
      <c r="E174" s="43"/>
      <c r="F174" s="43"/>
      <c r="G174" s="43"/>
      <c r="H174" s="43"/>
      <c r="I174" s="43"/>
      <c r="J174" s="43"/>
      <c r="K174" s="43"/>
      <c r="L174" s="43"/>
      <c r="M174" s="43"/>
      <c r="N174" s="43"/>
      <c r="O174" s="43"/>
      <c r="P174" s="43"/>
      <c r="Q174" s="43"/>
      <c r="R174" s="43"/>
      <c r="S174" s="43"/>
      <c r="T174" s="43"/>
      <c r="U174" s="43"/>
      <c r="V174" s="43"/>
      <c r="W174" s="43"/>
      <c r="X174" s="43"/>
      <c r="Y174" s="43"/>
      <c r="Z174" s="43"/>
      <c r="AA174" s="43"/>
      <c r="AB174" s="43"/>
      <c r="AC174" s="43"/>
      <c r="AD174" s="43"/>
      <c r="AE174" s="43"/>
      <c r="AF174" s="43"/>
      <c r="AG174" s="43"/>
      <c r="AH174" s="43"/>
      <c r="AI174" s="43"/>
      <c r="AJ174" s="43"/>
      <c r="AK174" s="43"/>
      <c r="AL174" s="43"/>
      <c r="AM174" s="43"/>
      <c r="AN174" s="43"/>
      <c r="AO174" s="43"/>
      <c r="AP174" s="43"/>
      <c r="AQ174" s="43"/>
      <c r="AR174" s="43"/>
      <c r="AS174" s="43"/>
      <c r="AT174" s="43"/>
      <c r="AU174" s="43"/>
      <c r="AV174" s="43"/>
      <c r="AW174" s="43"/>
      <c r="AX174" s="43"/>
      <c r="AY174" s="43"/>
      <c r="AZ174" s="43"/>
      <c r="BA174" s="43"/>
      <c r="BB174" s="43"/>
      <c r="BC174" s="43"/>
      <c r="BD174" s="43"/>
      <c r="BE174" s="43"/>
      <c r="BF174" s="43"/>
      <c r="BG174" s="43"/>
      <c r="BH174" s="43"/>
      <c r="BI174" s="43"/>
      <c r="BJ174" s="43"/>
      <c r="BK174" s="43"/>
      <c r="BL174" s="43"/>
      <c r="BM174" s="43"/>
      <c r="BN174" s="43"/>
      <c r="BO174" s="43"/>
      <c r="BP174" s="43"/>
      <c r="BQ174" s="43"/>
      <c r="BR174" s="43"/>
      <c r="BS174" s="43"/>
      <c r="BT174" s="43"/>
      <c r="BU174" s="43"/>
      <c r="BV174" s="43"/>
      <c r="BW174" s="43"/>
      <c r="BX174" s="43"/>
      <c r="BY174" s="43"/>
      <c r="BZ174" s="43"/>
      <c r="CA174" s="43"/>
      <c r="CB174" s="43"/>
      <c r="CC174" s="43"/>
      <c r="CD174" s="43"/>
      <c r="CE174" s="43"/>
      <c r="CF174" s="43"/>
      <c r="CG174" s="43"/>
      <c r="CH174" s="43"/>
      <c r="CI174" s="43"/>
      <c r="CJ174" s="43"/>
      <c r="CK174" s="43"/>
      <c r="CL174" s="43"/>
      <c r="CM174" s="43"/>
      <c r="CN174" s="43"/>
      <c r="CO174" s="43"/>
      <c r="CP174" s="43"/>
      <c r="CQ174" s="43"/>
      <c r="CR174" s="43"/>
      <c r="CS174" s="43"/>
      <c r="CT174" s="43"/>
      <c r="CU174" s="43"/>
      <c r="CV174" s="43"/>
      <c r="CW174" s="43"/>
      <c r="CX174" s="43"/>
      <c r="CY174" s="43"/>
    </row>
    <row r="175" spans="3:111" ht="20.350000000000001" customHeight="1" x14ac:dyDescent="0.45">
      <c r="C175" s="47" t="s">
        <v>9</v>
      </c>
      <c r="D175" s="32">
        <v>2</v>
      </c>
      <c r="E175" s="32">
        <v>3</v>
      </c>
      <c r="F175" s="32">
        <v>4</v>
      </c>
      <c r="G175" s="32">
        <v>5</v>
      </c>
      <c r="H175" s="32">
        <v>6</v>
      </c>
      <c r="I175" s="32">
        <v>7</v>
      </c>
      <c r="J175" s="32">
        <v>8</v>
      </c>
      <c r="K175" s="32">
        <v>9</v>
      </c>
      <c r="L175" s="32">
        <v>10</v>
      </c>
      <c r="M175" s="32">
        <v>11</v>
      </c>
      <c r="N175" s="32">
        <v>12</v>
      </c>
      <c r="O175" s="32">
        <v>13</v>
      </c>
      <c r="P175" s="32">
        <v>14</v>
      </c>
      <c r="Q175" s="32">
        <v>15</v>
      </c>
      <c r="R175" s="32">
        <v>16</v>
      </c>
      <c r="S175" s="32">
        <v>17</v>
      </c>
      <c r="T175" s="32">
        <v>18</v>
      </c>
      <c r="U175" s="32">
        <v>19</v>
      </c>
      <c r="V175" s="32">
        <v>20</v>
      </c>
      <c r="W175" s="32">
        <v>21</v>
      </c>
      <c r="X175" s="32">
        <v>22</v>
      </c>
      <c r="Y175" s="32">
        <v>23</v>
      </c>
      <c r="Z175" s="32">
        <v>24</v>
      </c>
      <c r="AA175" s="32">
        <v>25</v>
      </c>
      <c r="AB175" s="32">
        <v>26</v>
      </c>
      <c r="AC175" s="32">
        <v>27</v>
      </c>
      <c r="AD175" s="32">
        <v>28</v>
      </c>
      <c r="AE175" s="32">
        <v>29</v>
      </c>
      <c r="AF175" s="32">
        <v>30</v>
      </c>
      <c r="AG175" s="32">
        <v>31</v>
      </c>
      <c r="AH175" s="32">
        <v>32</v>
      </c>
      <c r="AI175" s="32">
        <v>33</v>
      </c>
      <c r="AJ175" s="32">
        <v>34</v>
      </c>
      <c r="AK175" s="32">
        <v>35</v>
      </c>
      <c r="AL175" s="32">
        <v>36</v>
      </c>
      <c r="AM175" s="32">
        <v>37</v>
      </c>
      <c r="AN175" s="32">
        <v>38</v>
      </c>
      <c r="AO175" s="32">
        <v>39</v>
      </c>
      <c r="AP175" s="32">
        <v>40</v>
      </c>
      <c r="AQ175" s="32">
        <v>41</v>
      </c>
      <c r="AR175" s="32">
        <v>42</v>
      </c>
      <c r="AS175" s="32">
        <v>43</v>
      </c>
      <c r="AT175" s="32">
        <v>44</v>
      </c>
      <c r="AU175" s="32">
        <v>45</v>
      </c>
      <c r="AV175" s="32">
        <v>46</v>
      </c>
      <c r="AW175" s="32">
        <v>47</v>
      </c>
      <c r="AX175" s="32">
        <v>48</v>
      </c>
      <c r="AY175" s="32">
        <v>49</v>
      </c>
      <c r="AZ175" s="32">
        <v>50</v>
      </c>
      <c r="BA175" s="32">
        <v>51</v>
      </c>
      <c r="BB175" s="32">
        <v>52</v>
      </c>
      <c r="BC175" s="32">
        <v>53</v>
      </c>
      <c r="BD175" s="32">
        <v>54</v>
      </c>
      <c r="BE175" s="32">
        <v>55</v>
      </c>
      <c r="BF175" s="32">
        <v>56</v>
      </c>
      <c r="BG175" s="32">
        <v>57</v>
      </c>
      <c r="BH175" s="32">
        <v>58</v>
      </c>
      <c r="BI175" s="32">
        <v>59</v>
      </c>
      <c r="BJ175" s="32">
        <v>60</v>
      </c>
      <c r="BK175" s="32">
        <v>61</v>
      </c>
      <c r="BL175" s="32">
        <v>62</v>
      </c>
      <c r="BM175" s="32">
        <v>63</v>
      </c>
      <c r="BN175" s="32">
        <v>64</v>
      </c>
      <c r="BO175" s="32">
        <v>65</v>
      </c>
      <c r="BP175" s="32">
        <v>66</v>
      </c>
      <c r="BQ175" s="32">
        <v>67</v>
      </c>
      <c r="BR175" s="32">
        <v>68</v>
      </c>
      <c r="BS175" s="32">
        <v>69</v>
      </c>
      <c r="BT175" s="32">
        <v>70</v>
      </c>
      <c r="BU175" s="32">
        <v>71</v>
      </c>
      <c r="BV175" s="32">
        <v>72</v>
      </c>
      <c r="BW175" s="32">
        <v>73</v>
      </c>
      <c r="BX175" s="32">
        <v>74</v>
      </c>
      <c r="BY175" s="32">
        <v>75</v>
      </c>
      <c r="BZ175" s="32">
        <v>76</v>
      </c>
      <c r="CA175" s="32">
        <v>77</v>
      </c>
      <c r="CB175" s="32">
        <v>78</v>
      </c>
      <c r="CC175" s="32">
        <v>79</v>
      </c>
      <c r="CD175" s="32">
        <v>80</v>
      </c>
      <c r="CE175" s="32">
        <v>81</v>
      </c>
      <c r="CF175" s="32">
        <v>82</v>
      </c>
      <c r="CG175" s="32">
        <v>83</v>
      </c>
      <c r="CH175" s="32">
        <v>84</v>
      </c>
      <c r="CI175" s="32">
        <v>85</v>
      </c>
      <c r="CJ175" s="32">
        <v>86</v>
      </c>
      <c r="CK175" s="32">
        <v>87</v>
      </c>
      <c r="CL175" s="32">
        <v>88</v>
      </c>
      <c r="CM175" s="32">
        <v>89</v>
      </c>
      <c r="CN175" s="32">
        <v>90</v>
      </c>
      <c r="CO175" s="32">
        <v>91</v>
      </c>
      <c r="CP175" s="32">
        <v>92</v>
      </c>
      <c r="CQ175" s="32">
        <v>93</v>
      </c>
      <c r="CR175" s="32">
        <v>94</v>
      </c>
      <c r="CS175" s="32">
        <v>95</v>
      </c>
      <c r="CT175" s="32">
        <v>96</v>
      </c>
      <c r="CU175" s="32">
        <v>97</v>
      </c>
      <c r="CV175" s="32">
        <v>98</v>
      </c>
      <c r="CW175" s="32">
        <v>99</v>
      </c>
      <c r="CX175" s="32">
        <v>100</v>
      </c>
      <c r="CY175" s="32"/>
      <c r="CZ175" s="32"/>
      <c r="DA175" s="32"/>
      <c r="DB175" s="32"/>
      <c r="DC175" s="32"/>
      <c r="DD175" s="32"/>
      <c r="DE175" s="32"/>
      <c r="DF175" s="32"/>
      <c r="DG175" s="32"/>
    </row>
    <row r="176" spans="3:111" ht="20.350000000000001" customHeight="1" x14ac:dyDescent="0.45">
      <c r="C176" s="47" t="s">
        <v>38</v>
      </c>
      <c r="D176" s="32" cm="1">
        <f t="array" ref="D176">DDPrice($C124,$C125,$C126,$C127,D175,$C128,$C130)</f>
        <v>0.47590719809637128</v>
      </c>
      <c r="E176" s="32" cm="1">
        <f t="array" ref="E176">DDPrice($C124,$C125,$C126,$C127,E175,$C128,$C130)</f>
        <v>0.35685806300967937</v>
      </c>
      <c r="F176" s="32" cm="1">
        <f t="array" ref="F176">DDPrice($C124,$C125,$C126,$C127,F175,$C128,$C130)</f>
        <v>0.35682160320643252</v>
      </c>
      <c r="G176" s="32" cm="1">
        <f t="array" ref="G176">DDPrice($C124,$C125,$C126,$C127,G175,$C128,$C130)</f>
        <v>0.29733302737710898</v>
      </c>
      <c r="H176" s="32" cm="1">
        <f t="array" ref="H176">DDPrice($C124,$C125,$C126,$C127,H175,$C128,$C130)</f>
        <v>0.29732078862188821</v>
      </c>
      <c r="I176" s="32" cm="1">
        <f t="array" ref="I176">DDPrice($C124,$C125,$C126,$C127,I175,$C128,$C130)</f>
        <v>0.26014802662237863</v>
      </c>
      <c r="J176" s="32" cm="1">
        <f t="array" ref="J176">DDPrice($C124,$C125,$C126,$C127,J175,$C128,$C130)</f>
        <v>0.46825608828450149</v>
      </c>
      <c r="K176" s="32" cm="1">
        <f t="array" ref="K176">DDPrice($C124,$C125,$C126,$C127,K175,$C128,$C130)</f>
        <v>0.23412401123352164</v>
      </c>
      <c r="L176" s="32" cm="1">
        <f t="array" ref="L176">DDPrice($C124,$C125,$C126,$C127,L175,$C128,$C130)</f>
        <v>0.42922143418123482</v>
      </c>
      <c r="M176" s="32" cm="1">
        <f t="array" ref="M176">DDPrice($C124,$C125,$C126,$C127,M175,$C128,$C130)</f>
        <v>0.21460829378255147</v>
      </c>
      <c r="N176" s="32" cm="1">
        <f t="array" ref="N176">DDPrice($C124,$C125,$C126,$C127,N175,$C128,$C130)</f>
        <v>0.39855450748761417</v>
      </c>
      <c r="O176" s="32" cm="1">
        <f t="array" ref="O176">DDPrice($C124,$C125,$C126,$C127,O175,$C128,$C130)</f>
        <v>0.19927566546873737</v>
      </c>
      <c r="P176" s="32" cm="1">
        <f t="array" ref="P176">DDPrice($C124,$C125,$C126,$C127,P175,$C128,$C130)</f>
        <v>0.37363931917829907</v>
      </c>
      <c r="Q176" s="32" cm="1">
        <f t="array" ref="Q176">DDPrice($C124,$C125,$C126,$C127,Q175,$C128,$C130)</f>
        <v>0.18681855266965988</v>
      </c>
      <c r="R176" s="32" cm="1">
        <f t="array" ref="R176">DDPrice($C124,$C125,$C126,$C127,R175,$C128,$C130)</f>
        <v>0.35287765835134993</v>
      </c>
      <c r="S176" s="32" cm="1">
        <f t="array" ref="S176">DDPrice($C124,$C125,$C126,$C127,S175,$C128,$C130)</f>
        <v>0.31758843888952609</v>
      </c>
      <c r="T176" s="32" cm="1">
        <f t="array" ref="T176">DDPrice($C124,$C125,$C126,$C127,T175,$C128,$C130)</f>
        <v>0.33523087684440517</v>
      </c>
      <c r="U176" s="32" cm="1">
        <f t="array" ref="U176">DDPrice($C124,$C125,$C126,$C127,U175,$C128,$C130)</f>
        <v>0.30475423272067531</v>
      </c>
      <c r="V176" s="32" cm="1">
        <f t="array" ref="V176">DDPrice($C124,$C125,$C126,$C127,V175,$C128,$C130)</f>
        <v>0.31999089534399677</v>
      </c>
      <c r="W176" s="32" cm="1">
        <f t="array" ref="W176">DDPrice($C124,$C125,$C126,$C127,W175,$C128,$C130)</f>
        <v>0.29332411724182467</v>
      </c>
      <c r="X176" s="32" cm="1">
        <f t="array" ref="X176">DDPrice($C124,$C125,$C126,$C127,X175,$C128,$C130)</f>
        <v>0.30665620453064463</v>
      </c>
      <c r="Y176" s="32" cm="1">
        <f t="array" ref="Y176">DDPrice($C124,$C125,$C126,$C127,Y175,$C128,$C130)</f>
        <v>0.28306656851239198</v>
      </c>
      <c r="Z176" s="32" cm="1">
        <f t="array" ref="Z176">DDPrice($C124,$C125,$C126,$C127,Z175,$C128,$C130)</f>
        <v>0.29486034304775283</v>
      </c>
      <c r="AA176" s="32" cm="1">
        <f t="array" ref="AA176">DDPrice($C124,$C125,$C126,$C127,AA175,$C128,$C130)</f>
        <v>0.27379832110838548</v>
      </c>
      <c r="AB176" s="32" cm="1">
        <f t="array" ref="AB176">DDPrice($C124,$C125,$C126,$C127,AB175,$C128,$C130)</f>
        <v>0.28432848040724379</v>
      </c>
      <c r="AC176" s="32" cm="1">
        <f t="array" ref="AC176">DDPrice($C124,$C125,$C126,$C127,AC175,$C128,$C130)</f>
        <v>0.26537277703645962</v>
      </c>
      <c r="AD176" s="32" cm="1">
        <f t="array" ref="AD176">DDPrice($C124,$C125,$C126,$C127,AD175,$C128,$C130)</f>
        <v>0.38265743571728011</v>
      </c>
      <c r="AE176" s="32" cm="1">
        <f t="array" ref="AE176">DDPrice($C124,$C125,$C126,$C127,AE175,$C128,$C130)</f>
        <v>0.25767140695324853</v>
      </c>
      <c r="AF176" s="32" cm="1">
        <f t="array" ref="AF176">DDPrice($C124,$C125,$C126,$C127,AF175,$C128,$C130)</f>
        <v>0.37235991115691519</v>
      </c>
      <c r="AG176" s="32" cm="1">
        <f t="array" ref="AG176">DDPrice($C124,$C125,$C126,$C127,AG175,$C128,$C130)</f>
        <v>0.25059737888168493</v>
      </c>
      <c r="AH176" s="32" cm="1">
        <f t="array" ref="AH176">DDPrice($C124,$C125,$C126,$C127,AH175,$C128,$C130)</f>
        <v>0.36284366525937101</v>
      </c>
      <c r="AI176" s="32" cm="1">
        <f t="array" ref="AI176">DDPrice($C124,$C125,$C126,$C127,AI175,$C128,$C130)</f>
        <v>0.24407081025575403</v>
      </c>
      <c r="AJ176" s="32" cm="1">
        <f t="array" ref="AJ176">DDPrice($C124,$C125,$C126,$C127,AJ175,$C128,$C130)</f>
        <v>0.35401562682944382</v>
      </c>
      <c r="AK176" s="32" cm="1">
        <f t="array" ref="AK176">DDPrice($C124,$C125,$C126,$C127,AK175,$C128,$C130)</f>
        <v>0.23802519859091664</v>
      </c>
      <c r="AL176" s="32" cm="1">
        <f t="array" ref="AL176">DDPrice($C124,$C125,$C126,$C127,AL175,$C128,$C130)</f>
        <v>0.34579737665424171</v>
      </c>
      <c r="AM176" s="32" cm="1">
        <f t="array" ref="AM176">DDPrice($C124,$C125,$C126,$C127,AM175,$C128,$C130)</f>
        <v>0.23240471135175578</v>
      </c>
      <c r="AN176" s="32" cm="1">
        <f t="array" ref="AN176">DDPrice($C124,$C125,$C126,$C127,AN175,$C128,$C130)</f>
        <v>0.33812234388607265</v>
      </c>
      <c r="AO176" s="32" cm="1">
        <f t="array" ref="AO176">DDPrice($C124,$C125,$C126,$C127,AO175,$C128,$C130)</f>
        <v>0.227162106948333</v>
      </c>
      <c r="AP176" s="32" cm="1">
        <f t="array" ref="AP176">DDPrice($C124,$C125,$C126,$C127,AP175,$C128,$C130)</f>
        <v>0.33093362289816147</v>
      </c>
      <c r="AQ176" s="32" cm="1">
        <f t="array" ref="AQ176">DDPrice($C124,$C125,$C126,$C127,AQ175,$C128,$C130)</f>
        <v>0.22225712363280631</v>
      </c>
      <c r="AR176" s="32" cm="1">
        <f t="array" ref="AR176">DDPrice($C124,$C125,$C126,$C127,AR175,$C128,$C130)</f>
        <v>0.32418225697759162</v>
      </c>
      <c r="AS176" s="32" cm="1">
        <f t="array" ref="AS176">DDPrice($C124,$C125,$C126,$C127,AS175,$C128,$C130)</f>
        <v>0.21765521871628896</v>
      </c>
      <c r="AT176" s="32" cm="1">
        <f t="array" ref="AT176">DDPrice($C124,$C125,$C126,$C127,AT175,$C128,$C130)</f>
        <v>0.31782587676221052</v>
      </c>
      <c r="AU176" s="32" cm="1">
        <f t="array" ref="AU176">DDPrice($C124,$C125,$C126,$C127,AU175,$C128,$C130)</f>
        <v>0.4103290250367983</v>
      </c>
      <c r="AV176" s="32" cm="1">
        <f t="array" ref="AV176">DDPrice($C124,$C125,$C126,$C127,AV175,$C128,$C130)</f>
        <v>0.3118276108376985</v>
      </c>
      <c r="AW176" s="32" cm="1">
        <f t="array" ref="AW176">DDPrice($C124,$C125,$C126,$C127,AW175,$C128,$C130)</f>
        <v>0.40306545728310661</v>
      </c>
      <c r="AX176" s="32" cm="1">
        <f t="array" ref="AX176">DDPrice($C124,$C125,$C126,$C127,AX175,$C128,$C130)</f>
        <v>0.30615520705938426</v>
      </c>
      <c r="AY176" s="32" cm="1">
        <f t="array" ref="AY176">DDPrice($C124,$C125,$C126,$C127,AY175,$C128,$C130)</f>
        <v>0.39617215394215616</v>
      </c>
      <c r="AZ176" s="32" cm="1">
        <f t="array" ref="AZ176">DDPrice($C124,$C125,$C126,$C127,AZ175,$C128,$C130)</f>
        <v>0.30078031846123005</v>
      </c>
      <c r="BA176" s="32" cm="1">
        <f t="array" ref="BA176">DDPrice($C124,$C125,$C126,$C127,BA175,$C128,$C130)</f>
        <v>0.38961888426002639</v>
      </c>
      <c r="BB176" s="32" cm="1">
        <f t="array" ref="BB176">DDPrice($C124,$C125,$C126,$C127,BB175,$C128,$C130)</f>
        <v>0.2956779187843977</v>
      </c>
      <c r="BC176" s="32" cm="1">
        <f t="array" ref="BC176">DDPrice($C124,$C125,$C126,$C127,BC175,$C128,$C130)</f>
        <v>0.38337874174742054</v>
      </c>
      <c r="BD176" s="32" cm="1">
        <f t="array" ref="BD176">DDPrice($C124,$C125,$C126,$C127,BD175,$C128,$C130)</f>
        <v>0.29082582088999293</v>
      </c>
      <c r="BE176" s="32" cm="1">
        <f t="array" ref="BE176">DDPrice($C124,$C125,$C126,$C127,BE175,$C128,$C130)</f>
        <v>0.37742769161530965</v>
      </c>
      <c r="BF176" s="32" cm="1">
        <f t="array" ref="BF176">DDPrice($C124,$C125,$C126,$C127,BF175,$C128,$C130)</f>
        <v>0.2862042774424014</v>
      </c>
      <c r="BG176" s="32" cm="1">
        <f t="array" ref="BG176">DDPrice($C124,$C125,$C126,$C127,BG175,$C128,$C130)</f>
        <v>0.37174419078487908</v>
      </c>
      <c r="BH176" s="32" cm="1">
        <f t="array" ref="BH176">DDPrice($C124,$C125,$C126,$C127,BH175,$C128,$C130)</f>
        <v>0.28179564784238215</v>
      </c>
      <c r="BI176" s="32" cm="1">
        <f t="array" ref="BI176">DDPrice($C124,$C125,$C126,$C127,BI175,$C128,$C130)</f>
        <v>0.36630886720561373</v>
      </c>
      <c r="BJ176" s="32" cm="1">
        <f t="array" ref="BJ176">DDPrice($C124,$C125,$C126,$C127,BJ175,$C128,$C130)</f>
        <v>0.2775841188634619</v>
      </c>
      <c r="BK176" s="32" cm="1">
        <f t="array" ref="BK176">DDPrice($C124,$C125,$C126,$C127,BK175,$C128,$C130)</f>
        <v>0.36110424791612139</v>
      </c>
      <c r="BL176" s="32" cm="1">
        <f t="array" ref="BL176">DDPrice($C124,$C125,$C126,$C127,BL175,$C128,$C130)</f>
        <v>0.34567040860490511</v>
      </c>
      <c r="BM176" s="32" cm="1">
        <f t="array" ref="BM176">DDPrice($C124,$C125,$C126,$C127,BM175,$C128,$C130)</f>
        <v>0.3561145273810688</v>
      </c>
      <c r="BN176" s="32" cm="1">
        <f t="array" ref="BN176">DDPrice($C124,$C125,$C126,$C127,BN175,$C128,$C130)</f>
        <v>0.34131441935726947</v>
      </c>
      <c r="BO176" s="32" cm="1">
        <f t="array" ref="BO176">DDPrice($C124,$C125,$C126,$C127,BO175,$C128,$C130)</f>
        <v>0.35132536927962305</v>
      </c>
      <c r="BP176" s="32" cm="1">
        <f t="array" ref="BP176">DDPrice($C124,$C125,$C126,$C127,BP175,$C128,$C130)</f>
        <v>0.33711687650539368</v>
      </c>
      <c r="BQ176" s="32" cm="1">
        <f t="array" ref="BQ176">DDPrice($C124,$C125,$C126,$C127,BQ175,$C128,$C130)</f>
        <v>0.34672373621317348</v>
      </c>
      <c r="BR176" s="32" cm="1">
        <f t="array" ref="BR176">DDPrice($C124,$C125,$C126,$C127,BR175,$C128,$C130)</f>
        <v>0.33306855053799123</v>
      </c>
      <c r="BS176" s="32" cm="1">
        <f t="array" ref="BS176">DDPrice($C124,$C125,$C126,$C127,BS175,$C128,$C130)</f>
        <v>0.3422977428238006</v>
      </c>
      <c r="BT176" s="32" cm="1">
        <f t="array" ref="BT176">DDPrice($C124,$C125,$C126,$C127,BT175,$C128,$C130)</f>
        <v>0.32916093354312875</v>
      </c>
      <c r="BU176" s="32" cm="1">
        <f t="array" ref="BU176">DDPrice($C124,$C125,$C126,$C127,BU175,$C128,$C130)</f>
        <v>0.33803652863040273</v>
      </c>
      <c r="BV176" s="32" cm="1">
        <f t="array" ref="BV176">DDPrice($C124,$C125,$C126,$C127,BV175,$C128,$C130)</f>
        <v>0.32538616990790631</v>
      </c>
      <c r="BW176" s="32" cm="1">
        <f t="array" ref="BW176">DDPrice($C124,$C125,$C126,$C127,BW175,$C128,$C130)</f>
        <v>0.33393014754234507</v>
      </c>
      <c r="BX176" s="32" cm="1">
        <f t="array" ref="BX176">DDPrice($C124,$C125,$C126,$C127,BX175,$C128,$C130)</f>
        <v>0.32173699474617473</v>
      </c>
      <c r="BY176" s="32" cm="1">
        <f t="array" ref="BY176">DDPrice($C124,$C125,$C126,$C127,BY175,$C128,$C130)</f>
        <v>0.32996947153639739</v>
      </c>
      <c r="BZ176" s="32" cm="1">
        <f t="array" ref="BZ176">DDPrice($C124,$C125,$C126,$C127,BZ175,$C128,$C130)</f>
        <v>0.31820667909561701</v>
      </c>
      <c r="CA176" s="32" cm="1">
        <f t="array" ref="CA176">DDPrice($C124,$C125,$C126,$C127,CA175,$C128,$C130)</f>
        <v>0.32614610640844022</v>
      </c>
      <c r="CB176" s="32" cm="1">
        <f t="array" ref="CB176">DDPrice($C124,$C125,$C126,$C127,CB175,$C128,$C130)</f>
        <v>0.31478898105278758</v>
      </c>
      <c r="CC176" s="32" cm="1">
        <f t="array" ref="CC176">DDPrice($C124,$C125,$C126,$C127,CC175,$C128,$C130)</f>
        <v>0.3224523178573</v>
      </c>
      <c r="CD176" s="32" cm="1">
        <f t="array" ref="CD176">DDPrice($C124,$C125,$C126,$C127,CD175,$C128,$C130)</f>
        <v>0.31147810212425803</v>
      </c>
      <c r="CE176" s="32" cm="1">
        <f t="array" ref="CE176">DDPrice($C124,$C125,$C126,$C127,CE175,$C128,$C130)</f>
        <v>0.31888096644098401</v>
      </c>
      <c r="CF176" s="32" cm="1">
        <f t="array" ref="CF176">DDPrice($C124,$C125,$C126,$C127,CF175,$C128,$C130)</f>
        <v>0.30826864816722055</v>
      </c>
      <c r="CG176" s="32" cm="1">
        <f t="array" ref="CG176">DDPrice($C124,$C125,$C126,$C127,CG175,$C128,$C130)</f>
        <v>0.31542545017765544</v>
      </c>
      <c r="CH176" s="32" cm="1">
        <f t="array" ref="CH176">DDPrice($C124,$C125,$C126,$C127,CH175,$C128,$C130)</f>
        <v>0.30515559437474049</v>
      </c>
      <c r="CI176" s="32" cm="1">
        <f t="array" ref="CI176">DDPrice($C124,$C125,$C126,$C127,CI175,$C128,$C130)</f>
        <v>0.37379457184737047</v>
      </c>
      <c r="CJ176" s="32" cm="1">
        <f t="array" ref="CJ176">DDPrice($C124,$C125,$C126,$C127,CJ175,$C128,$C130)</f>
        <v>0.30213425383169745</v>
      </c>
      <c r="CK176" s="32" cm="1">
        <f t="array" ref="CK176">DDPrice($C124,$C125,$C126,$C127,CK175,$C128,$C130)</f>
        <v>0.37024094352043907</v>
      </c>
      <c r="CL176" s="32" cm="1">
        <f t="array" ref="CL176">DDPrice($C124,$C125,$C126,$C127,CL175,$C128,$C130)</f>
        <v>0.29920024922820382</v>
      </c>
      <c r="CM176" s="32" cm="1">
        <f t="array" ref="CM176">DDPrice($C124,$C125,$C126,$C127,CM175,$C128,$C130)</f>
        <v>0.36678594017287075</v>
      </c>
      <c r="CN176" s="32" cm="1">
        <f t="array" ref="CN176">DDPrice($C124,$C125,$C126,$C127,CN175,$C128,$C130)</f>
        <v>0.29634948737012379</v>
      </c>
      <c r="CO176" s="32" cm="1">
        <f t="array" ref="CO176">DDPrice($C124,$C125,$C126,$C127,CO175,$C128,$C130)</f>
        <v>0.36342512385816195</v>
      </c>
      <c r="CP176" s="32" cm="1">
        <f t="array" ref="CP176">DDPrice($C124,$C125,$C126,$C127,CP175,$C128,$C130)</f>
        <v>0.29357813617173556</v>
      </c>
      <c r="CQ176" s="32" cm="1">
        <f t="array" ref="CQ176">DDPrice($C124,$C125,$C126,$C127,CQ175,$C128,$C130)</f>
        <v>0.36015432849359746</v>
      </c>
      <c r="CR176" s="32" cm="1">
        <f t="array" ref="CR176">DDPrice($C124,$C125,$C126,$C127,CR175,$C128,$C130)</f>
        <v>0.29088260385463388</v>
      </c>
      <c r="CS176" s="32" cm="1">
        <f t="array" ref="CS176">DDPrice($C124,$C125,$C126,$C127,CS175,$C128,$C130)</f>
        <v>0.35696963905120976</v>
      </c>
      <c r="CT176" s="32" cm="1">
        <f t="array" ref="CT176">DDPrice($C124,$C125,$C126,$C127,CT175,$C128,$C130)</f>
        <v>0.28825952011133149</v>
      </c>
      <c r="CU176" s="32" cm="1">
        <f t="array" ref="CU176">DDPrice($C124,$C125,$C126,$C127,CU175,$C128,$C130)</f>
        <v>0.3538673726391296</v>
      </c>
      <c r="CV176" s="32" cm="1">
        <f t="array" ref="CV176">DDPrice($C124,$C125,$C126,$C127,CV175,$C128,$C130)</f>
        <v>0.28570571902113945</v>
      </c>
      <c r="CW176" s="32" cm="1">
        <f t="array" ref="CW176">DDPrice($C124,$C125,$C126,$C127,CW175,$C128,$C130)</f>
        <v>0.35084406127633322</v>
      </c>
      <c r="CX176" s="32" cm="1">
        <f t="array" ref="CX176">DDPrice($C124,$C125,$C126,$C127,CX175,$C128,$C130)</f>
        <v>0.2832182235316032</v>
      </c>
      <c r="CY176" s="32"/>
      <c r="CZ176" s="32"/>
      <c r="DA176" s="32"/>
      <c r="DB176" s="32"/>
      <c r="DC176" s="32"/>
      <c r="DD176" s="32"/>
      <c r="DE176" s="32"/>
      <c r="DF176" s="32"/>
      <c r="DG176" s="32"/>
    </row>
    <row r="177" spans="3:111" ht="20.350000000000001" customHeight="1" x14ac:dyDescent="0.45">
      <c r="C177" s="47" t="s">
        <v>39</v>
      </c>
      <c r="D177" s="32" cm="1">
        <f t="array" ref="D177">DDDelta($C124,$C125,$C126,$C127,D175,$C128,$C130)</f>
        <v>0</v>
      </c>
      <c r="E177" s="32" cm="1">
        <f t="array" ref="E177">DDDelta($C124,$C125,$C126,$C127,E175,$C128,$C130)</f>
        <v>1.0473298352673943E-2</v>
      </c>
      <c r="F177" s="32" cm="1">
        <f t="array" ref="F177">DDDelta($C124,$C125,$C126,$C127,F175,$C128,$C130)</f>
        <v>0</v>
      </c>
      <c r="G177" s="32" cm="1">
        <f t="array" ref="G177">DDDelta($C124,$C125,$C126,$C127,G175,$C128,$C130)</f>
        <v>6.7150542978273182E-3</v>
      </c>
      <c r="H177" s="32" cm="1">
        <f t="array" ref="H177">DDDelta($C124,$C125,$C126,$C127,H175,$C128,$C130)</f>
        <v>0</v>
      </c>
      <c r="I177" s="32" cm="1">
        <f t="array" ref="I177">DDDelta($C124,$C125,$C126,$C127,I175,$C128,$C130)</f>
        <v>4.9514522721168649E-3</v>
      </c>
      <c r="J177" s="32" cm="1">
        <f t="array" ref="J177">DDDelta($C124,$C125,$C126,$C127,J175,$C128,$C130)</f>
        <v>7.4039216545298773E-3</v>
      </c>
      <c r="K177" s="32" cm="1">
        <f t="array" ref="K177">DDDelta($C124,$C125,$C126,$C127,K175,$C128,$C130)</f>
        <v>3.9237450030803183E-3</v>
      </c>
      <c r="L177" s="32" cm="1">
        <f t="array" ref="L177">DDDelta($C124,$C125,$C126,$C127,L175,$C128,$C130)</f>
        <v>6.2004724515437879E-3</v>
      </c>
      <c r="M177" s="32" cm="1">
        <f t="array" ref="M177">DDDelta($C124,$C125,$C126,$C127,M175,$C128,$C130)</f>
        <v>3.250047859708549E-3</v>
      </c>
      <c r="N177" s="32" cm="1">
        <f t="array" ref="N177">DDDelta($C124,$C125,$C126,$C127,N175,$C128,$C130)</f>
        <v>5.3322536612034465E-3</v>
      </c>
      <c r="O177" s="32" cm="1">
        <f t="array" ref="O177">DDDelta($C124,$C125,$C126,$C127,O175,$C128,$C130)</f>
        <v>2.7740849464161642E-3</v>
      </c>
      <c r="P177" s="32" cm="1">
        <f t="array" ref="P177">DDDelta($C124,$C125,$C126,$C127,P175,$C128,$C130)</f>
        <v>4.6767442800540416E-3</v>
      </c>
      <c r="Q177" s="32" cm="1">
        <f t="array" ref="Q177">DDDelta($C124,$C125,$C126,$C127,Q175,$C128,$C130)</f>
        <v>2.4198565346544632E-3</v>
      </c>
      <c r="R177" s="32" cm="1">
        <f t="array" ref="R177">DDDelta($C124,$C125,$C126,$C127,R175,$C128,$C130)</f>
        <v>4.1644753062787913E-3</v>
      </c>
      <c r="S177" s="32" cm="1">
        <f t="array" ref="S177">DDDelta($C124,$C125,$C126,$C127,S175,$C128,$C130)</f>
        <v>7.296122247461418E-3</v>
      </c>
      <c r="T177" s="32" cm="1">
        <f t="array" ref="T177">DDDelta($C124,$C125,$C126,$C127,T175,$C128,$C130)</f>
        <v>3.7531970827633632E-3</v>
      </c>
      <c r="U177" s="32" cm="1">
        <f t="array" ref="U177">DDDelta($C124,$C125,$C126,$C127,U175,$C128,$C130)</f>
        <v>6.6594433692159453E-3</v>
      </c>
      <c r="V177" s="32" cm="1">
        <f t="array" ref="V177">DDDelta($C124,$C125,$C126,$C127,V175,$C128,$C130)</f>
        <v>3.4157628459791554E-3</v>
      </c>
      <c r="W177" s="32" cm="1">
        <f t="array" ref="W177">DDDelta($C124,$C125,$C126,$C127,W175,$C128,$C130)</f>
        <v>6.1244563587170703E-3</v>
      </c>
      <c r="X177" s="32" cm="1">
        <f t="array" ref="X177">DDDelta($C124,$C125,$C126,$C127,X175,$C128,$C130)</f>
        <v>3.133943610222208E-3</v>
      </c>
      <c r="Y177" s="32" cm="1">
        <f t="array" ref="Y177">DDDelta($C124,$C125,$C126,$C127,Y175,$C128,$C130)</f>
        <v>5.6687114393804902E-3</v>
      </c>
      <c r="Z177" s="32" cm="1">
        <f t="array" ref="Z177">DDDelta($C124,$C125,$C126,$C127,Z175,$C128,$C130)</f>
        <v>2.8950483549447449E-3</v>
      </c>
      <c r="AA177" s="32" cm="1">
        <f t="array" ref="AA177">DDDelta($C124,$C125,$C126,$C127,AA175,$C128,$C130)</f>
        <v>5.2758830336654267E-3</v>
      </c>
      <c r="AB177" s="32" cm="1">
        <f t="array" ref="AB177">DDDelta($C124,$C125,$C126,$C127,AB175,$C128,$C130)</f>
        <v>2.6899713703723675E-3</v>
      </c>
      <c r="AC177" s="32" cm="1">
        <f t="array" ref="AC177">DDDelta($C124,$C125,$C126,$C127,AC175,$C128,$C130)</f>
        <v>4.9338248180571974E-3</v>
      </c>
      <c r="AD177" s="32" cm="1">
        <f t="array" ref="AD177">DDDelta($C124,$C125,$C126,$C127,AD175,$C128,$C130)</f>
        <v>6.5940279481265258E-3</v>
      </c>
      <c r="AE177" s="32" cm="1">
        <f t="array" ref="AE177">DDDelta($C124,$C125,$C126,$C127,AE175,$C128,$C130)</f>
        <v>4.6333180382736889E-3</v>
      </c>
      <c r="AF177" s="32" cm="1">
        <f t="array" ref="AF177">DDDelta($C124,$C125,$C126,$C127,AF175,$C128,$C130)</f>
        <v>6.2367997099868639E-3</v>
      </c>
      <c r="AG177" s="32" cm="1">
        <f t="array" ref="AG177">DDDelta($C124,$C125,$C126,$C127,AG175,$C128,$C130)</f>
        <v>4.3672424576628672E-3</v>
      </c>
      <c r="AH177" s="32" cm="1">
        <f t="array" ref="AH177">DDDelta($C124,$C125,$C126,$C127,AH175,$C128,$C130)</f>
        <v>5.9158585465512378E-3</v>
      </c>
      <c r="AI177" s="32" cm="1">
        <f t="array" ref="AI177">DDDelta($C124,$C125,$C126,$C127,AI175,$C128,$C130)</f>
        <v>4.1300130100950056E-3</v>
      </c>
      <c r="AJ177" s="32" cm="1">
        <f t="array" ref="AJ177">DDDelta($C124,$C125,$C126,$C127,AJ175,$C128,$C130)</f>
        <v>5.6260123372529683E-3</v>
      </c>
      <c r="AK177" s="32" cm="1">
        <f t="array" ref="AK177">DDDelta($C124,$C125,$C126,$C127,AK175,$C128,$C130)</f>
        <v>3.9171881815144643E-3</v>
      </c>
      <c r="AL177" s="32" cm="1">
        <f t="array" ref="AL177">DDDelta($C124,$C125,$C126,$C127,AL175,$C128,$C130)</f>
        <v>5.36299994529008E-3</v>
      </c>
      <c r="AM177" s="32" cm="1">
        <f t="array" ref="AM177">DDDelta($C124,$C125,$C126,$C127,AM175,$C128,$C130)</f>
        <v>3.7251921711441982E-3</v>
      </c>
      <c r="AN177" s="32" cm="1">
        <f t="array" ref="AN177">DDDelta($C124,$C125,$C126,$C127,AN175,$C128,$C130)</f>
        <v>5.1232951251648654E-3</v>
      </c>
      <c r="AO177" s="32" cm="1">
        <f t="array" ref="AO177">DDDelta($C124,$C125,$C126,$C127,AO175,$C128,$C130)</f>
        <v>3.5511141391107721E-3</v>
      </c>
      <c r="AP177" s="32" cm="1">
        <f t="array" ref="AP177">DDDelta($C124,$C125,$C126,$C127,AP175,$C128,$C130)</f>
        <v>4.9039569392798962E-3</v>
      </c>
      <c r="AQ177" s="32" cm="1">
        <f t="array" ref="AQ177">DDDelta($C124,$C125,$C126,$C127,AQ175,$C128,$C130)</f>
        <v>3.3925607424536829E-3</v>
      </c>
      <c r="AR177" s="32" cm="1">
        <f t="array" ref="AR177">DDDelta($C124,$C125,$C126,$C127,AR175,$C128,$C130)</f>
        <v>4.7025146492285326E-3</v>
      </c>
      <c r="AS177" s="32" cm="1">
        <f t="array" ref="AS177">DDDelta($C124,$C125,$C126,$C127,AS175,$C128,$C130)</f>
        <v>3.2475461857035307E-3</v>
      </c>
      <c r="AT177" s="32" cm="1">
        <f t="array" ref="AT177">DDDelta($C124,$C125,$C126,$C127,AT175,$C128,$C130)</f>
        <v>4.5168783523421912E-3</v>
      </c>
      <c r="AU177" s="32" cm="1">
        <f t="array" ref="AU177">DDDelta($C124,$C125,$C126,$C127,AU175,$C128,$C130)</f>
        <v>5.4813600551217494E-3</v>
      </c>
      <c r="AV177" s="32" cm="1">
        <f t="array" ref="AV177">DDDelta($C124,$C125,$C126,$C127,AV175,$C128,$C130)</f>
        <v>4.3452690034384098E-3</v>
      </c>
      <c r="AW177" s="32" cm="1">
        <f t="array" ref="AW177">DDDelta($C124,$C125,$C126,$C127,AW175,$C128,$C130)</f>
        <v>5.2930945016302069E-3</v>
      </c>
      <c r="AX177" s="32" cm="1">
        <f t="array" ref="AX177">DDDelta($C124,$C125,$C126,$C127,AX175,$C128,$C130)</f>
        <v>4.1861631576432679E-3</v>
      </c>
      <c r="AY177" s="32" cm="1">
        <f t="array" ref="AY177">DDDelta($C124,$C125,$C126,$C127,AY175,$C128,$C130)</f>
        <v>5.1171149837689854E-3</v>
      </c>
      <c r="AZ177" s="32" cm="1">
        <f t="array" ref="AZ177">DDDelta($C124,$C125,$C126,$C127,AZ175,$C128,$C130)</f>
        <v>4.0382489877506915E-3</v>
      </c>
      <c r="BA177" s="32" cm="1">
        <f t="array" ref="BA177">DDDelta($C124,$C125,$C126,$C127,BA175,$C128,$C130)</f>
        <v>4.9522817463934065E-3</v>
      </c>
      <c r="BB177" s="32" cm="1">
        <f t="array" ref="BB177">DDDelta($C124,$C125,$C126,$C127,BB175,$C128,$C130)</f>
        <v>3.9003910086157752E-3</v>
      </c>
      <c r="BC177" s="32" cm="1">
        <f t="array" ref="BC177">DDDelta($C124,$C125,$C126,$C127,BC175,$C128,$C130)</f>
        <v>4.7975880484638425E-3</v>
      </c>
      <c r="BD177" s="32" cm="1">
        <f t="array" ref="BD177">DDDelta($C124,$C125,$C126,$C127,BD175,$C128,$C130)</f>
        <v>3.7716015801014381E-3</v>
      </c>
      <c r="BE177" s="32" cm="1">
        <f t="array" ref="BE177">DDDelta($C124,$C125,$C126,$C127,BE175,$C128,$C130)</f>
        <v>4.6521419986548145E-3</v>
      </c>
      <c r="BF177" s="32" cm="1">
        <f t="array" ref="BF177">DDDelta($C124,$C125,$C126,$C127,BF175,$C128,$C130)</f>
        <v>3.6510177281803961E-3</v>
      </c>
      <c r="BG177" s="32" cm="1">
        <f t="array" ref="BG177">DDDelta($C124,$C125,$C126,$C127,BG175,$C128,$C130)</f>
        <v>4.5151511369047855E-3</v>
      </c>
      <c r="BH177" s="32" cm="1">
        <f t="array" ref="BH177">DDDelta($C124,$C125,$C126,$C127,BH175,$C128,$C130)</f>
        <v>3.5378821693871189E-3</v>
      </c>
      <c r="BI177" s="32" cm="1">
        <f t="array" ref="BI177">DDDelta($C124,$C125,$C126,$C127,BI175,$C128,$C130)</f>
        <v>4.3859093284466513E-3</v>
      </c>
      <c r="BJ177" s="32" cm="1">
        <f t="array" ref="BJ177">DDDelta($C124,$C125,$C126,$C127,BJ175,$C128,$C130)</f>
        <v>3.4315276810028936E-3</v>
      </c>
      <c r="BK177" s="32" cm="1">
        <f t="array" ref="BK177">DDDelta($C124,$C125,$C126,$C127,BK175,$C128,$C130)</f>
        <v>4.2637856016874698E-3</v>
      </c>
      <c r="BL177" s="32" cm="1">
        <f t="array" ref="BL177">DDDelta($C124,$C125,$C126,$C127,BL175,$C128,$C130)</f>
        <v>6.0811618870699156E-3</v>
      </c>
      <c r="BM177" s="32" cm="1">
        <f t="array" ref="BM177">DDDelta($C124,$C125,$C126,$C127,BM175,$C128,$C130)</f>
        <v>4.1482146195508723E-3</v>
      </c>
      <c r="BN177" s="32" cm="1">
        <f t="array" ref="BN177">DDDelta($C124,$C125,$C126,$C127,BN175,$C128,$C130)</f>
        <v>5.9246240941167759E-3</v>
      </c>
      <c r="BO177" s="32" cm="1">
        <f t="array" ref="BO177">DDDelta($C124,$C125,$C126,$C127,BO175,$C128,$C130)</f>
        <v>4.038688524445431E-3</v>
      </c>
      <c r="BP177" s="32" cm="1">
        <f t="array" ref="BP177">DDDelta($C124,$C125,$C126,$C127,BP175,$C128,$C130)</f>
        <v>5.7758478388301726E-3</v>
      </c>
      <c r="BQ177" s="32" cm="1">
        <f t="array" ref="BQ177">DDDelta($C124,$C125,$C126,$C127,BQ175,$C128,$C130)</f>
        <v>3.9347499399949902E-3</v>
      </c>
      <c r="BR177" s="32" cm="1">
        <f t="array" ref="BR177">DDDelta($C124,$C125,$C126,$C127,BR175,$C128,$C130)</f>
        <v>5.63427791134669E-3</v>
      </c>
      <c r="BS177" s="32" cm="1">
        <f t="array" ref="BS177">DDDelta($C124,$C125,$C126,$C127,BS175,$C128,$C130)</f>
        <v>3.8359859487617958E-3</v>
      </c>
      <c r="BT177" s="32" cm="1">
        <f t="array" ref="BT177">DDDelta($C124,$C125,$C126,$C127,BT175,$C128,$C130)</f>
        <v>5.4994099239847405E-3</v>
      </c>
      <c r="BU177" s="32" cm="1">
        <f t="array" ref="BU177">DDDelta($C124,$C125,$C126,$C127,BU175,$C128,$C130)</f>
        <v>3.742022895279442E-3</v>
      </c>
      <c r="BV177" s="32" cm="1">
        <f t="array" ref="BV177">DDDelta($C124,$C125,$C126,$C127,BV175,$C128,$C130)</f>
        <v>5.3707847496515361E-3</v>
      </c>
      <c r="BW177" s="32" cm="1">
        <f t="array" ref="BW177">DDDelta($C124,$C125,$C126,$C127,BW175,$C128,$C130)</f>
        <v>3.6525218886829208E-3</v>
      </c>
      <c r="BX177" s="32" cm="1">
        <f t="array" ref="BX177">DDDelta($C124,$C125,$C126,$C127,BX175,$C128,$C130)</f>
        <v>5.2479836548209018E-3</v>
      </c>
      <c r="BY177" s="32" cm="1">
        <f t="array" ref="BY177">DDDelta($C124,$C125,$C126,$C127,BY175,$C128,$C130)</f>
        <v>3.567174899906024E-3</v>
      </c>
      <c r="BZ177" s="32" cm="1">
        <f t="array" ref="BZ177">DDDelta($C124,$C125,$C126,$C127,BZ175,$C128,$C130)</f>
        <v>5.1306240317530007E-3</v>
      </c>
      <c r="CA177" s="32" cm="1">
        <f t="array" ref="CA177">DDDelta($C124,$C125,$C126,$C127,CA175,$C128,$C130)</f>
        <v>3.4857013655332715E-3</v>
      </c>
      <c r="CB177" s="32" cm="1">
        <f t="array" ref="CB177">DDDelta($C124,$C125,$C126,$C127,CB175,$C128,$C130)</f>
        <v>5.0183556484719224E-3</v>
      </c>
      <c r="CC177" s="32" cm="1">
        <f t="array" ref="CC177">DDDelta($C124,$C125,$C126,$C127,CC175,$C128,$C130)</f>
        <v>3.4078452245594544E-3</v>
      </c>
      <c r="CD177" s="32" cm="1">
        <f t="array" ref="CD177">DDDelta($C124,$C125,$C126,$C127,CD175,$C128,$C130)</f>
        <v>4.9108573468344737E-3</v>
      </c>
      <c r="CE177" s="32" cm="1">
        <f t="array" ref="CE177">DDDelta($C124,$C125,$C126,$C127,CE175,$C128,$C130)</f>
        <v>3.3333723260516937E-3</v>
      </c>
      <c r="CF177" s="32" cm="1">
        <f t="array" ref="CF177">DDDelta($C124,$C125,$C126,$C127,CF175,$C128,$C130)</f>
        <v>4.8078341290970347E-3</v>
      </c>
      <c r="CG177" s="32" cm="1">
        <f t="array" ref="CG177">DDDelta($C124,$C125,$C126,$C127,CG175,$C128,$C130)</f>
        <v>3.2620681554488325E-3</v>
      </c>
      <c r="CH177" s="32" cm="1">
        <f t="array" ref="CH177">DDDelta($C124,$C125,$C126,$C127,CH175,$C128,$C130)</f>
        <v>4.709014581947989E-3</v>
      </c>
      <c r="CI177" s="32" cm="1">
        <f t="array" ref="CI177">DDDelta($C124,$C125,$C126,$C127,CI175,$C128,$C130)</f>
        <v>5.5379869472000206E-3</v>
      </c>
      <c r="CJ177" s="32" cm="1">
        <f t="array" ref="CJ177">DDDelta($C124,$C125,$C126,$C127,CJ175,$C128,$C130)</f>
        <v>4.614148594251884E-3</v>
      </c>
      <c r="CK177" s="32" cm="1">
        <f t="array" ref="CK177">DDDelta($C124,$C125,$C126,$C127,CK175,$C128,$C130)</f>
        <v>5.4336024614727099E-3</v>
      </c>
      <c r="CL177" s="32" cm="1">
        <f t="array" ref="CL177">DDDelta($C124,$C125,$C126,$C127,CL175,$C128,$C130)</f>
        <v>4.5230053309299884E-3</v>
      </c>
      <c r="CM177" s="32" cm="1">
        <f t="array" ref="CM177">DDDelta($C124,$C125,$C126,$C127,CM175,$C128,$C130)</f>
        <v>5.333022403959174E-3</v>
      </c>
      <c r="CN177" s="32" cm="1">
        <f t="array" ref="CN177">DDDelta($C124,$C125,$C126,$C127,CN175,$C128,$C130)</f>
        <v>4.4353714306588675E-3</v>
      </c>
      <c r="CO177" s="32" cm="1">
        <f t="array" ref="CO177">DDDelta($C124,$C125,$C126,$C127,CO175,$C128,$C130)</f>
        <v>5.2360462841616962E-3</v>
      </c>
      <c r="CP177" s="32" cm="1">
        <f t="array" ref="CP177">DDDelta($C124,$C125,$C126,$C127,CP175,$C128,$C130)</f>
        <v>4.3510493995410626E-3</v>
      </c>
      <c r="CQ177" s="32" cm="1">
        <f t="array" ref="CQ177">DDDelta($C124,$C125,$C126,$C127,CQ175,$C128,$C130)</f>
        <v>5.1424871299229945E-3</v>
      </c>
      <c r="CR177" s="32" cm="1">
        <f t="array" ref="CR177">DDDelta($C124,$C125,$C126,$C127,CR175,$C128,$C130)</f>
        <v>4.2698561767056161E-3</v>
      </c>
      <c r="CS177" s="32" cm="1">
        <f t="array" ref="CS177">DDDelta($C124,$C125,$C126,$C127,CS175,$C128,$C130)</f>
        <v>5.0521704020628265E-3</v>
      </c>
      <c r="CT177" s="32" cm="1">
        <f t="array" ref="CT177">DDDelta($C124,$C125,$C126,$C127,CT175,$C128,$C130)</f>
        <v>4.1916218510497198E-3</v>
      </c>
      <c r="CU177" s="32" cm="1">
        <f t="array" ref="CU177">DDDelta($C124,$C125,$C126,$C127,CU175,$C128,$C130)</f>
        <v>4.9649330073844502E-3</v>
      </c>
      <c r="CV177" s="32" cm="1">
        <f t="array" ref="CV177">DDDelta($C124,$C125,$C126,$C127,CV175,$C128,$C130)</f>
        <v>4.116188511103719E-3</v>
      </c>
      <c r="CW177" s="32" cm="1">
        <f t="array" ref="CW177">DDDelta($C124,$C125,$C126,$C127,CW175,$C128,$C130)</f>
        <v>4.8806224004965607E-3</v>
      </c>
      <c r="CX177" s="32" cm="1">
        <f t="array" ref="CX177">DDDelta($C124,$C125,$C126,$C127,CX175,$C128,$C130)</f>
        <v>4.043409212377197E-3</v>
      </c>
      <c r="CY177" s="32"/>
      <c r="CZ177" s="32"/>
      <c r="DA177" s="32"/>
      <c r="DB177" s="32"/>
      <c r="DC177" s="32"/>
      <c r="DD177" s="32"/>
      <c r="DE177" s="32"/>
      <c r="DF177" s="32"/>
      <c r="DG177" s="32"/>
    </row>
    <row r="178" spans="3:111" ht="20.350000000000001" customHeight="1" x14ac:dyDescent="0.45">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2"/>
      <c r="AB178" s="32"/>
      <c r="AC178" s="32"/>
      <c r="AD178" s="32"/>
      <c r="AE178" s="32"/>
      <c r="AF178" s="32"/>
      <c r="AG178" s="32"/>
      <c r="AH178" s="32"/>
      <c r="AI178" s="32"/>
      <c r="AJ178" s="32"/>
      <c r="AK178" s="32"/>
      <c r="AL178" s="32"/>
      <c r="AM178" s="32"/>
      <c r="AN178" s="32"/>
      <c r="AO178" s="32"/>
      <c r="AP178" s="32"/>
      <c r="AQ178" s="32"/>
      <c r="AR178" s="32"/>
      <c r="AS178" s="32"/>
      <c r="AT178" s="32"/>
      <c r="AU178" s="32"/>
      <c r="AV178" s="32"/>
      <c r="AW178" s="32"/>
      <c r="AX178" s="32"/>
      <c r="AY178" s="32"/>
      <c r="AZ178" s="32"/>
      <c r="BA178" s="32"/>
      <c r="BB178" s="32"/>
      <c r="BC178" s="32"/>
      <c r="BD178" s="32"/>
      <c r="BE178" s="32"/>
      <c r="BF178" s="32"/>
      <c r="BG178" s="32"/>
      <c r="BH178" s="32"/>
      <c r="BI178" s="32"/>
      <c r="BJ178" s="32"/>
      <c r="BK178" s="32"/>
      <c r="BL178" s="32"/>
      <c r="BM178" s="32"/>
      <c r="BN178" s="32"/>
      <c r="BO178" s="32"/>
      <c r="BP178" s="32"/>
      <c r="BQ178" s="32"/>
      <c r="BR178" s="32"/>
      <c r="BS178" s="32"/>
      <c r="BT178" s="32"/>
      <c r="BU178" s="32"/>
      <c r="BV178" s="32"/>
      <c r="BW178" s="32"/>
      <c r="BX178" s="32"/>
      <c r="BY178" s="32"/>
      <c r="BZ178" s="32"/>
      <c r="CA178" s="32"/>
      <c r="CB178" s="32"/>
      <c r="CC178" s="32"/>
      <c r="CD178" s="32"/>
      <c r="CE178" s="32"/>
      <c r="CF178" s="32"/>
      <c r="CG178" s="32"/>
      <c r="CH178" s="32"/>
      <c r="CI178" s="32"/>
      <c r="CJ178" s="32"/>
      <c r="CK178" s="32"/>
      <c r="CL178" s="32"/>
      <c r="CM178" s="32"/>
      <c r="CN178" s="32"/>
      <c r="CO178" s="32"/>
      <c r="CP178" s="32"/>
      <c r="CQ178" s="32"/>
      <c r="CR178" s="32"/>
      <c r="CS178" s="32"/>
      <c r="CT178" s="32"/>
      <c r="CU178" s="32"/>
      <c r="CV178" s="32"/>
      <c r="CW178" s="32"/>
      <c r="CX178" s="32"/>
      <c r="CY178" s="32"/>
      <c r="CZ178" s="32"/>
      <c r="DA178" s="32"/>
      <c r="DB178" s="32"/>
      <c r="DC178" s="32"/>
      <c r="DD178" s="32"/>
      <c r="DE178" s="32"/>
      <c r="DF178" s="32"/>
      <c r="DG178" s="32"/>
    </row>
    <row r="179" spans="3:111" ht="20.350000000000001" customHeight="1" x14ac:dyDescent="0.45">
      <c r="C179" s="32"/>
      <c r="D179" s="32" t="s">
        <v>40</v>
      </c>
      <c r="E179" s="32">
        <f>(LN(C124/C128) + (C125 - 0.5*C126^2)*C127) / (C126*SQRT(C127))</f>
        <v>0.15</v>
      </c>
      <c r="F179" s="32"/>
      <c r="G179" s="32"/>
      <c r="H179" s="32"/>
      <c r="I179" s="32"/>
      <c r="J179" s="32"/>
      <c r="K179" s="32"/>
      <c r="L179" s="32"/>
      <c r="M179" s="32"/>
      <c r="N179" s="32"/>
      <c r="O179" s="32"/>
      <c r="P179" s="32"/>
      <c r="Q179" s="32"/>
      <c r="R179" s="32"/>
      <c r="S179" s="32"/>
      <c r="T179" s="32"/>
      <c r="U179" s="32"/>
      <c r="V179" s="32"/>
      <c r="W179" s="32"/>
      <c r="X179" s="32"/>
      <c r="Y179" s="32"/>
      <c r="Z179" s="32"/>
      <c r="AA179" s="32"/>
      <c r="AB179" s="32"/>
      <c r="AC179" s="32"/>
      <c r="AD179" s="32"/>
      <c r="AE179" s="32"/>
      <c r="AF179" s="32"/>
      <c r="AG179" s="32"/>
      <c r="AH179" s="32"/>
      <c r="AI179" s="32"/>
      <c r="AJ179" s="32"/>
      <c r="AK179" s="32"/>
      <c r="AL179" s="32"/>
      <c r="AM179" s="32"/>
      <c r="AN179" s="32"/>
      <c r="AO179" s="32"/>
      <c r="AP179" s="32"/>
      <c r="AQ179" s="32"/>
      <c r="AR179" s="32"/>
      <c r="AS179" s="32"/>
      <c r="AT179" s="32"/>
      <c r="AU179" s="32"/>
      <c r="AV179" s="32"/>
      <c r="AW179" s="32"/>
      <c r="AX179" s="32"/>
      <c r="AY179" s="32"/>
      <c r="AZ179" s="32"/>
      <c r="BA179" s="32"/>
      <c r="BB179" s="32"/>
      <c r="BC179" s="32"/>
      <c r="BD179" s="32"/>
      <c r="BE179" s="32"/>
      <c r="BF179" s="32"/>
      <c r="BG179" s="32"/>
      <c r="BH179" s="32"/>
      <c r="BI179" s="32"/>
      <c r="BJ179" s="32"/>
      <c r="BK179" s="32"/>
      <c r="BL179" s="32"/>
      <c r="BM179" s="32"/>
      <c r="BN179" s="32"/>
      <c r="BO179" s="32"/>
      <c r="BP179" s="32"/>
      <c r="BQ179" s="32"/>
      <c r="BR179" s="32"/>
      <c r="BS179" s="32"/>
      <c r="BT179" s="32"/>
      <c r="BU179" s="32"/>
      <c r="BV179" s="32"/>
      <c r="BW179" s="32"/>
      <c r="BX179" s="32"/>
      <c r="BY179" s="32"/>
      <c r="BZ179" s="32"/>
      <c r="CA179" s="32"/>
      <c r="CB179" s="32"/>
      <c r="CC179" s="32"/>
      <c r="CD179" s="32"/>
      <c r="CE179" s="32"/>
      <c r="CF179" s="32"/>
      <c r="CG179" s="32"/>
      <c r="CH179" s="32"/>
      <c r="CI179" s="32"/>
      <c r="CJ179" s="32"/>
      <c r="CK179" s="32"/>
      <c r="CL179" s="32"/>
      <c r="CM179" s="32"/>
      <c r="CN179" s="32"/>
      <c r="CO179" s="32"/>
      <c r="CP179" s="32"/>
      <c r="CQ179" s="32"/>
      <c r="CR179" s="32"/>
      <c r="CS179" s="32"/>
      <c r="CT179" s="32"/>
      <c r="CU179" s="32"/>
      <c r="CV179" s="32"/>
      <c r="CW179" s="32"/>
      <c r="CX179" s="32"/>
      <c r="CY179" s="32"/>
      <c r="CZ179" s="32"/>
      <c r="DA179" s="32"/>
      <c r="DB179" s="32"/>
      <c r="DC179" s="32"/>
      <c r="DD179" s="32"/>
      <c r="DE179" s="32"/>
      <c r="DF179" s="32"/>
      <c r="DG179" s="32"/>
    </row>
    <row r="180" spans="3:111" ht="20.350000000000001" customHeight="1" x14ac:dyDescent="0.45">
      <c r="C180" s="32"/>
      <c r="D180" s="32" t="s">
        <v>41</v>
      </c>
      <c r="E180" s="32">
        <f>(LN(C124/C130) + (C125 - 0.5*C126^2)*C127) / (C126*SQRT(C127))</f>
        <v>-0.76160778396977291</v>
      </c>
      <c r="F180" s="32"/>
      <c r="G180" s="32"/>
      <c r="H180" s="32"/>
      <c r="I180" s="32"/>
      <c r="J180" s="32"/>
      <c r="K180" s="32"/>
      <c r="L180" s="32"/>
      <c r="M180" s="32"/>
      <c r="N180" s="32"/>
      <c r="O180" s="32"/>
      <c r="P180" s="32"/>
      <c r="Q180" s="32"/>
      <c r="R180" s="32"/>
      <c r="S180" s="32"/>
      <c r="T180" s="32"/>
      <c r="U180" s="32"/>
      <c r="V180" s="32"/>
      <c r="W180" s="32"/>
      <c r="X180" s="32"/>
      <c r="Y180" s="32"/>
      <c r="Z180" s="32"/>
      <c r="AA180" s="32"/>
      <c r="AB180" s="32"/>
      <c r="AC180" s="32"/>
      <c r="AD180" s="32"/>
      <c r="AE180" s="32"/>
      <c r="AF180" s="32"/>
      <c r="AG180" s="32"/>
      <c r="AH180" s="32"/>
      <c r="AI180" s="32"/>
      <c r="AJ180" s="32"/>
      <c r="AK180" s="32"/>
      <c r="AL180" s="32"/>
      <c r="AM180" s="32"/>
      <c r="AN180" s="32"/>
      <c r="AO180" s="32"/>
      <c r="AP180" s="32"/>
      <c r="AQ180" s="32"/>
      <c r="AR180" s="32"/>
      <c r="AS180" s="32"/>
      <c r="AT180" s="32"/>
      <c r="AU180" s="32"/>
      <c r="AV180" s="32"/>
      <c r="AW180" s="32"/>
      <c r="AX180" s="32"/>
      <c r="AY180" s="32"/>
      <c r="AZ180" s="32"/>
      <c r="BA180" s="32"/>
      <c r="BB180" s="32"/>
      <c r="BC180" s="32"/>
      <c r="BD180" s="32"/>
      <c r="BE180" s="32"/>
      <c r="BF180" s="32"/>
      <c r="BG180" s="32"/>
      <c r="BH180" s="32"/>
      <c r="BI180" s="32"/>
      <c r="BJ180" s="32"/>
      <c r="BK180" s="32"/>
      <c r="BL180" s="32"/>
      <c r="BM180" s="32"/>
      <c r="BN180" s="32"/>
      <c r="BO180" s="32"/>
      <c r="BP180" s="32"/>
      <c r="BQ180" s="32"/>
      <c r="BR180" s="32"/>
      <c r="BS180" s="32"/>
      <c r="BT180" s="32"/>
      <c r="BU180" s="32"/>
      <c r="BV180" s="32"/>
      <c r="BW180" s="32"/>
      <c r="BX180" s="32"/>
      <c r="BY180" s="32"/>
      <c r="BZ180" s="32"/>
      <c r="CA180" s="32"/>
      <c r="CB180" s="32"/>
      <c r="CC180" s="32"/>
      <c r="CD180" s="32"/>
      <c r="CE180" s="32"/>
      <c r="CF180" s="32"/>
      <c r="CG180" s="32"/>
      <c r="CH180" s="32"/>
      <c r="CI180" s="32"/>
      <c r="CJ180" s="32"/>
      <c r="CK180" s="32"/>
      <c r="CL180" s="32"/>
      <c r="CM180" s="32"/>
      <c r="CN180" s="32"/>
      <c r="CO180" s="32"/>
      <c r="CP180" s="32"/>
      <c r="CQ180" s="32"/>
      <c r="CR180" s="32"/>
      <c r="CS180" s="32"/>
      <c r="CT180" s="32"/>
      <c r="CU180" s="32"/>
      <c r="CV180" s="32"/>
      <c r="CW180" s="32"/>
      <c r="CX180" s="32"/>
      <c r="CY180" s="32"/>
      <c r="CZ180" s="32"/>
      <c r="DA180" s="32"/>
      <c r="DB180" s="32"/>
      <c r="DC180" s="32"/>
      <c r="DD180" s="32"/>
      <c r="DE180" s="32"/>
      <c r="DF180" s="32"/>
      <c r="DG180" s="32"/>
    </row>
    <row r="181" spans="3:111" ht="20.350000000000001" customHeight="1" x14ac:dyDescent="0.45">
      <c r="C181" s="32"/>
      <c r="D181" s="47" t="s">
        <v>42</v>
      </c>
      <c r="E181" s="32">
        <f xml:space="preserve"> EXP( -C125*C127 ) * ( _xlfn.NORM.S.DIST( E179, TRUE ) - _xlfn.NORM.S.DIST( E180, TRUE ) )</f>
        <v>0.32006076233749758</v>
      </c>
      <c r="F181" s="32">
        <f>E181</f>
        <v>0.32006076233749758</v>
      </c>
      <c r="G181" s="32"/>
      <c r="H181" s="47" t="s">
        <v>43</v>
      </c>
      <c r="I181" s="32">
        <f xml:space="preserve"> EXP(-C125*C127)*(_xlfn.NORM.S.DIST(E179,FALSE)-_xlfn.NORM.S.DIST(E180,FALSE))/(C124*C126*SQRT(C127))</f>
        <v>4.5645830637593273E-3</v>
      </c>
      <c r="J181" s="32">
        <f>I181</f>
        <v>4.5645830637593273E-3</v>
      </c>
      <c r="K181" s="32"/>
      <c r="L181" s="32"/>
      <c r="M181" s="32"/>
      <c r="N181" s="32"/>
      <c r="O181" s="32"/>
      <c r="P181" s="32"/>
      <c r="Q181" s="32"/>
      <c r="R181" s="32"/>
      <c r="S181" s="32"/>
      <c r="T181" s="32"/>
      <c r="U181" s="32"/>
      <c r="V181" s="32"/>
      <c r="W181" s="32"/>
      <c r="X181" s="32"/>
      <c r="Y181" s="32"/>
      <c r="Z181" s="32"/>
      <c r="AA181" s="32"/>
      <c r="AB181" s="32"/>
      <c r="AC181" s="32"/>
      <c r="AD181" s="32"/>
      <c r="AE181" s="32"/>
      <c r="AF181" s="32"/>
      <c r="AG181" s="32"/>
      <c r="AH181" s="32"/>
      <c r="AI181" s="32"/>
      <c r="AJ181" s="32"/>
      <c r="AK181" s="32"/>
      <c r="AL181" s="32"/>
      <c r="AM181" s="32"/>
      <c r="AN181" s="32"/>
      <c r="AO181" s="32"/>
      <c r="AP181" s="32"/>
      <c r="AQ181" s="32"/>
      <c r="AR181" s="32"/>
      <c r="AS181" s="32"/>
      <c r="AT181" s="32"/>
      <c r="AU181" s="32"/>
      <c r="AV181" s="32"/>
      <c r="AW181" s="32"/>
      <c r="AX181" s="32"/>
      <c r="AY181" s="32"/>
      <c r="AZ181" s="32"/>
      <c r="BA181" s="32"/>
      <c r="BB181" s="32"/>
      <c r="BC181" s="32"/>
      <c r="BD181" s="32"/>
      <c r="BE181" s="32"/>
      <c r="BF181" s="32"/>
      <c r="BG181" s="32"/>
      <c r="BH181" s="32"/>
      <c r="BI181" s="32"/>
      <c r="BJ181" s="32"/>
      <c r="BK181" s="32"/>
      <c r="BL181" s="32"/>
      <c r="BM181" s="32"/>
      <c r="BN181" s="32"/>
      <c r="BO181" s="32"/>
      <c r="BP181" s="32"/>
      <c r="BQ181" s="32"/>
      <c r="BR181" s="32"/>
      <c r="BS181" s="32"/>
      <c r="BT181" s="32"/>
      <c r="BU181" s="32"/>
      <c r="BV181" s="32"/>
      <c r="BW181" s="32"/>
      <c r="BX181" s="32"/>
      <c r="BY181" s="32"/>
      <c r="BZ181" s="32"/>
      <c r="CA181" s="32"/>
      <c r="CB181" s="32"/>
      <c r="CC181" s="32"/>
      <c r="CD181" s="32"/>
      <c r="CE181" s="32"/>
      <c r="CF181" s="32"/>
      <c r="CG181" s="32"/>
      <c r="CH181" s="32"/>
      <c r="CI181" s="32"/>
      <c r="CJ181" s="32"/>
      <c r="CK181" s="32"/>
      <c r="CL181" s="32"/>
      <c r="CM181" s="32"/>
      <c r="CN181" s="32"/>
      <c r="CO181" s="32"/>
      <c r="CP181" s="32"/>
      <c r="CQ181" s="32"/>
      <c r="CR181" s="32"/>
      <c r="CS181" s="32"/>
      <c r="CT181" s="32"/>
      <c r="CU181" s="32"/>
      <c r="CV181" s="32"/>
      <c r="CW181" s="32"/>
      <c r="CX181" s="32"/>
      <c r="CY181" s="32"/>
      <c r="CZ181" s="32"/>
      <c r="DA181" s="32"/>
      <c r="DB181" s="32"/>
      <c r="DC181" s="32"/>
      <c r="DD181" s="32"/>
      <c r="DE181" s="32"/>
      <c r="DF181" s="32"/>
      <c r="DG181" s="32"/>
    </row>
    <row r="182" spans="3:111" ht="20.350000000000001" customHeight="1" x14ac:dyDescent="0.45">
      <c r="C182" s="32"/>
      <c r="D182" s="32"/>
      <c r="E182" s="32"/>
      <c r="F182" s="32">
        <f>E181</f>
        <v>0.32006076233749758</v>
      </c>
      <c r="G182" s="32"/>
      <c r="H182" s="32"/>
      <c r="I182" s="32"/>
      <c r="J182" s="32">
        <f>I181</f>
        <v>4.5645830637593273E-3</v>
      </c>
      <c r="K182" s="32"/>
      <c r="L182" s="32"/>
      <c r="M182" s="32"/>
      <c r="N182" s="32"/>
      <c r="O182" s="32"/>
      <c r="P182" s="32"/>
      <c r="Q182" s="32"/>
      <c r="R182" s="32"/>
      <c r="S182" s="32"/>
      <c r="T182" s="32"/>
      <c r="U182" s="32"/>
      <c r="V182" s="32"/>
      <c r="W182" s="32"/>
      <c r="X182" s="32"/>
      <c r="Y182" s="32"/>
      <c r="Z182" s="32"/>
      <c r="AA182" s="32"/>
      <c r="AB182" s="32"/>
      <c r="AC182" s="32"/>
      <c r="AD182" s="32"/>
      <c r="AE182" s="32"/>
      <c r="AF182" s="32"/>
      <c r="AG182" s="32"/>
      <c r="AH182" s="32"/>
      <c r="AI182" s="32"/>
      <c r="AJ182" s="32"/>
      <c r="AK182" s="32"/>
      <c r="AL182" s="32"/>
      <c r="AM182" s="32"/>
      <c r="AN182" s="32"/>
      <c r="AO182" s="32"/>
      <c r="AP182" s="32"/>
      <c r="AQ182" s="32"/>
      <c r="AR182" s="32"/>
      <c r="AS182" s="32"/>
      <c r="AT182" s="32"/>
      <c r="AU182" s="32"/>
      <c r="AV182" s="32"/>
      <c r="AW182" s="32"/>
      <c r="AX182" s="32"/>
      <c r="AY182" s="32"/>
      <c r="AZ182" s="32"/>
      <c r="BA182" s="32"/>
      <c r="BB182" s="32"/>
      <c r="BC182" s="32"/>
      <c r="BD182" s="32"/>
      <c r="BE182" s="32"/>
      <c r="BF182" s="32"/>
      <c r="BG182" s="32"/>
      <c r="BH182" s="32"/>
      <c r="BI182" s="32"/>
      <c r="BJ182" s="32"/>
      <c r="BK182" s="32"/>
      <c r="BL182" s="32"/>
      <c r="BM182" s="32"/>
      <c r="BN182" s="32"/>
      <c r="BO182" s="32"/>
      <c r="BP182" s="32"/>
      <c r="BQ182" s="32"/>
      <c r="BR182" s="32"/>
      <c r="BS182" s="32"/>
      <c r="BT182" s="32"/>
      <c r="BU182" s="32"/>
      <c r="BV182" s="32"/>
      <c r="BW182" s="32"/>
      <c r="BX182" s="32"/>
      <c r="BY182" s="32"/>
      <c r="BZ182" s="32"/>
      <c r="CA182" s="32"/>
      <c r="CB182" s="32"/>
      <c r="CC182" s="32"/>
      <c r="CD182" s="32"/>
      <c r="CE182" s="32"/>
      <c r="CF182" s="32"/>
      <c r="CG182" s="32"/>
      <c r="CH182" s="32"/>
      <c r="CI182" s="32"/>
      <c r="CJ182" s="32"/>
      <c r="CK182" s="32"/>
      <c r="CL182" s="32"/>
      <c r="CM182" s="32"/>
      <c r="CN182" s="32"/>
      <c r="CO182" s="32"/>
      <c r="CP182" s="32"/>
      <c r="CQ182" s="32"/>
      <c r="CR182" s="32"/>
      <c r="CS182" s="32"/>
      <c r="CT182" s="32"/>
      <c r="CU182" s="32"/>
      <c r="CV182" s="32"/>
      <c r="CW182" s="32"/>
      <c r="CX182" s="32"/>
      <c r="CY182" s="32"/>
      <c r="CZ182" s="32"/>
      <c r="DA182" s="32"/>
      <c r="DB182" s="32"/>
      <c r="DC182" s="32"/>
      <c r="DD182" s="32"/>
      <c r="DE182" s="32"/>
      <c r="DF182" s="32"/>
      <c r="DG182" s="32"/>
    </row>
    <row r="183" spans="3:111" ht="20.350000000000001" customHeight="1" x14ac:dyDescent="0.45">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2"/>
      <c r="AB183" s="32"/>
      <c r="AC183" s="32"/>
      <c r="AD183" s="32"/>
      <c r="AE183" s="32"/>
      <c r="AF183" s="32"/>
      <c r="AG183" s="32"/>
      <c r="AH183" s="32"/>
      <c r="AI183" s="32"/>
      <c r="AJ183" s="32"/>
      <c r="AK183" s="32"/>
      <c r="AL183" s="32"/>
      <c r="AM183" s="32"/>
      <c r="AN183" s="32"/>
      <c r="AO183" s="32"/>
      <c r="AP183" s="32"/>
      <c r="AQ183" s="32"/>
      <c r="AR183" s="32"/>
      <c r="AS183" s="32"/>
      <c r="AT183" s="32"/>
      <c r="AU183" s="32"/>
      <c r="AV183" s="32"/>
      <c r="AW183" s="32"/>
      <c r="AX183" s="32"/>
      <c r="AY183" s="32"/>
      <c r="AZ183" s="32"/>
      <c r="BA183" s="32"/>
      <c r="BB183" s="32"/>
      <c r="BC183" s="32"/>
      <c r="BD183" s="32"/>
      <c r="BE183" s="32"/>
      <c r="BF183" s="32"/>
      <c r="BG183" s="32"/>
      <c r="BH183" s="32"/>
      <c r="BI183" s="32"/>
      <c r="BJ183" s="32"/>
      <c r="BK183" s="32"/>
      <c r="BL183" s="32"/>
      <c r="BM183" s="32"/>
      <c r="BN183" s="32"/>
      <c r="BO183" s="32"/>
      <c r="BP183" s="32"/>
      <c r="BQ183" s="32"/>
      <c r="BR183" s="32"/>
      <c r="BS183" s="32"/>
      <c r="BT183" s="32"/>
      <c r="BU183" s="32"/>
      <c r="BV183" s="32"/>
      <c r="BW183" s="32"/>
      <c r="BX183" s="32"/>
      <c r="BY183" s="32"/>
      <c r="BZ183" s="32"/>
      <c r="CA183" s="32"/>
      <c r="CB183" s="32"/>
      <c r="CC183" s="32"/>
      <c r="CD183" s="32"/>
      <c r="CE183" s="32"/>
      <c r="CF183" s="32"/>
      <c r="CG183" s="32"/>
      <c r="CH183" s="32"/>
      <c r="CI183" s="32"/>
      <c r="CJ183" s="32"/>
      <c r="CK183" s="32"/>
      <c r="CL183" s="32"/>
      <c r="CM183" s="32"/>
      <c r="CN183" s="32"/>
      <c r="CO183" s="32"/>
      <c r="CP183" s="32"/>
      <c r="CQ183" s="32"/>
      <c r="CR183" s="32"/>
      <c r="CS183" s="32"/>
      <c r="CT183" s="32"/>
      <c r="CU183" s="32"/>
      <c r="CV183" s="32"/>
      <c r="CW183" s="32"/>
      <c r="CX183" s="32"/>
      <c r="CY183" s="32"/>
      <c r="CZ183" s="32"/>
      <c r="DA183" s="32"/>
      <c r="DB183" s="32"/>
      <c r="DC183" s="32"/>
      <c r="DD183" s="32"/>
      <c r="DE183" s="32"/>
      <c r="DF183" s="32"/>
      <c r="DG183" s="32"/>
    </row>
    <row r="184" spans="3:111" ht="20.350000000000001" customHeight="1" x14ac:dyDescent="0.45">
      <c r="C184" s="47" t="s">
        <v>44</v>
      </c>
      <c r="D184" s="32">
        <f>LOG(D175)</f>
        <v>0.3010299956639812</v>
      </c>
      <c r="E184" s="32">
        <f t="shared" ref="E184:BP184" si="10">LOG(E175)</f>
        <v>0.47712125471966244</v>
      </c>
      <c r="F184" s="32">
        <f t="shared" si="10"/>
        <v>0.6020599913279624</v>
      </c>
      <c r="G184" s="32">
        <f t="shared" si="10"/>
        <v>0.69897000433601886</v>
      </c>
      <c r="H184" s="32">
        <f t="shared" si="10"/>
        <v>0.77815125038364363</v>
      </c>
      <c r="I184" s="32">
        <f t="shared" si="10"/>
        <v>0.84509804001425681</v>
      </c>
      <c r="J184" s="32">
        <f t="shared" si="10"/>
        <v>0.90308998699194354</v>
      </c>
      <c r="K184" s="32">
        <f t="shared" si="10"/>
        <v>0.95424250943932487</v>
      </c>
      <c r="L184" s="32">
        <f t="shared" si="10"/>
        <v>1</v>
      </c>
      <c r="M184" s="32">
        <f t="shared" si="10"/>
        <v>1.0413926851582251</v>
      </c>
      <c r="N184" s="32">
        <f t="shared" si="10"/>
        <v>1.0791812460476249</v>
      </c>
      <c r="O184" s="32">
        <f t="shared" si="10"/>
        <v>1.1139433523068367</v>
      </c>
      <c r="P184" s="32">
        <f t="shared" si="10"/>
        <v>1.146128035678238</v>
      </c>
      <c r="Q184" s="32">
        <f t="shared" si="10"/>
        <v>1.1760912590556813</v>
      </c>
      <c r="R184" s="32">
        <f t="shared" si="10"/>
        <v>1.2041199826559248</v>
      </c>
      <c r="S184" s="32">
        <f t="shared" si="10"/>
        <v>1.2304489213782739</v>
      </c>
      <c r="T184" s="32">
        <f t="shared" si="10"/>
        <v>1.255272505103306</v>
      </c>
      <c r="U184" s="32">
        <f t="shared" si="10"/>
        <v>1.2787536009528289</v>
      </c>
      <c r="V184" s="32">
        <f t="shared" si="10"/>
        <v>1.3010299956639813</v>
      </c>
      <c r="W184" s="32">
        <f t="shared" si="10"/>
        <v>1.3222192947339193</v>
      </c>
      <c r="X184" s="32">
        <f t="shared" si="10"/>
        <v>1.3424226808222062</v>
      </c>
      <c r="Y184" s="32">
        <f t="shared" si="10"/>
        <v>1.3617278360175928</v>
      </c>
      <c r="Z184" s="32">
        <f t="shared" si="10"/>
        <v>1.3802112417116059</v>
      </c>
      <c r="AA184" s="32">
        <f t="shared" si="10"/>
        <v>1.3979400086720377</v>
      </c>
      <c r="AB184" s="32">
        <f t="shared" si="10"/>
        <v>1.414973347970818</v>
      </c>
      <c r="AC184" s="32">
        <f t="shared" si="10"/>
        <v>1.4313637641589874</v>
      </c>
      <c r="AD184" s="32">
        <f t="shared" si="10"/>
        <v>1.4471580313422192</v>
      </c>
      <c r="AE184" s="32">
        <f t="shared" si="10"/>
        <v>1.4623979978989561</v>
      </c>
      <c r="AF184" s="32">
        <f t="shared" si="10"/>
        <v>1.4771212547196624</v>
      </c>
      <c r="AG184" s="32">
        <f t="shared" si="10"/>
        <v>1.4913616938342726</v>
      </c>
      <c r="AH184" s="32">
        <f t="shared" si="10"/>
        <v>1.505149978319906</v>
      </c>
      <c r="AI184" s="32">
        <f t="shared" si="10"/>
        <v>1.5185139398778875</v>
      </c>
      <c r="AJ184" s="32">
        <f t="shared" si="10"/>
        <v>1.5314789170422551</v>
      </c>
      <c r="AK184" s="32">
        <f t="shared" si="10"/>
        <v>1.5440680443502757</v>
      </c>
      <c r="AL184" s="32">
        <f t="shared" si="10"/>
        <v>1.5563025007672873</v>
      </c>
      <c r="AM184" s="32">
        <f t="shared" si="10"/>
        <v>1.568201724066995</v>
      </c>
      <c r="AN184" s="32">
        <f t="shared" si="10"/>
        <v>1.5797835966168101</v>
      </c>
      <c r="AO184" s="32">
        <f t="shared" si="10"/>
        <v>1.5910646070264991</v>
      </c>
      <c r="AP184" s="32">
        <f t="shared" si="10"/>
        <v>1.6020599913279623</v>
      </c>
      <c r="AQ184" s="32">
        <f t="shared" si="10"/>
        <v>1.6127838567197355</v>
      </c>
      <c r="AR184" s="32">
        <f t="shared" si="10"/>
        <v>1.6232492903979006</v>
      </c>
      <c r="AS184" s="32">
        <f t="shared" si="10"/>
        <v>1.6334684555795864</v>
      </c>
      <c r="AT184" s="32">
        <f t="shared" si="10"/>
        <v>1.6434526764861874</v>
      </c>
      <c r="AU184" s="32">
        <f t="shared" si="10"/>
        <v>1.6532125137753437</v>
      </c>
      <c r="AV184" s="32">
        <f t="shared" si="10"/>
        <v>1.6627578316815741</v>
      </c>
      <c r="AW184" s="32">
        <f t="shared" si="10"/>
        <v>1.6720978579357175</v>
      </c>
      <c r="AX184" s="32">
        <f t="shared" si="10"/>
        <v>1.6812412373755872</v>
      </c>
      <c r="AY184" s="32">
        <f t="shared" si="10"/>
        <v>1.6901960800285136</v>
      </c>
      <c r="AZ184" s="32">
        <f t="shared" si="10"/>
        <v>1.6989700043360187</v>
      </c>
      <c r="BA184" s="32">
        <f t="shared" si="10"/>
        <v>1.7075701760979363</v>
      </c>
      <c r="BB184" s="32">
        <f t="shared" si="10"/>
        <v>1.7160033436347992</v>
      </c>
      <c r="BC184" s="32">
        <f t="shared" si="10"/>
        <v>1.7242758696007889</v>
      </c>
      <c r="BD184" s="32">
        <f t="shared" si="10"/>
        <v>1.7323937598229686</v>
      </c>
      <c r="BE184" s="32">
        <f t="shared" si="10"/>
        <v>1.7403626894942439</v>
      </c>
      <c r="BF184" s="32">
        <f t="shared" si="10"/>
        <v>1.7481880270062005</v>
      </c>
      <c r="BG184" s="32">
        <f t="shared" si="10"/>
        <v>1.7558748556724915</v>
      </c>
      <c r="BH184" s="32">
        <f t="shared" si="10"/>
        <v>1.7634279935629373</v>
      </c>
      <c r="BI184" s="32">
        <f t="shared" si="10"/>
        <v>1.7708520116421442</v>
      </c>
      <c r="BJ184" s="32">
        <f t="shared" si="10"/>
        <v>1.7781512503836436</v>
      </c>
      <c r="BK184" s="32">
        <f t="shared" si="10"/>
        <v>1.7853298350107671</v>
      </c>
      <c r="BL184" s="32">
        <f t="shared" si="10"/>
        <v>1.7923916894982539</v>
      </c>
      <c r="BM184" s="32">
        <f t="shared" si="10"/>
        <v>1.7993405494535817</v>
      </c>
      <c r="BN184" s="32">
        <f t="shared" si="10"/>
        <v>1.8061799739838871</v>
      </c>
      <c r="BO184" s="32">
        <f t="shared" si="10"/>
        <v>1.8129133566428555</v>
      </c>
      <c r="BP184" s="32">
        <f t="shared" si="10"/>
        <v>1.8195439355418688</v>
      </c>
      <c r="BQ184" s="32">
        <f t="shared" ref="BQ184:CK184" si="11">LOG(BQ175)</f>
        <v>1.8260748027008264</v>
      </c>
      <c r="BR184" s="32">
        <f t="shared" si="11"/>
        <v>1.8325089127062364</v>
      </c>
      <c r="BS184" s="32">
        <f t="shared" si="11"/>
        <v>1.8388490907372552</v>
      </c>
      <c r="BT184" s="32">
        <f t="shared" si="11"/>
        <v>1.8450980400142569</v>
      </c>
      <c r="BU184" s="32">
        <f t="shared" si="11"/>
        <v>1.8512583487190752</v>
      </c>
      <c r="BV184" s="32">
        <f t="shared" si="11"/>
        <v>1.8573324964312685</v>
      </c>
      <c r="BW184" s="32">
        <f t="shared" si="11"/>
        <v>1.8633228601204559</v>
      </c>
      <c r="BX184" s="32">
        <f t="shared" si="11"/>
        <v>1.8692317197309762</v>
      </c>
      <c r="BY184" s="32">
        <f t="shared" si="11"/>
        <v>1.8750612633917001</v>
      </c>
      <c r="BZ184" s="32">
        <f t="shared" si="11"/>
        <v>1.8808135922807914</v>
      </c>
      <c r="CA184" s="32">
        <f t="shared" si="11"/>
        <v>1.8864907251724818</v>
      </c>
      <c r="CB184" s="32">
        <f t="shared" si="11"/>
        <v>1.8920946026904804</v>
      </c>
      <c r="CC184" s="32">
        <f t="shared" si="11"/>
        <v>1.8976270912904414</v>
      </c>
      <c r="CD184" s="32">
        <f t="shared" si="11"/>
        <v>1.9030899869919435</v>
      </c>
      <c r="CE184" s="32">
        <f t="shared" si="11"/>
        <v>1.9084850188786497</v>
      </c>
      <c r="CF184" s="32">
        <f t="shared" si="11"/>
        <v>1.9138138523837167</v>
      </c>
      <c r="CG184" s="32">
        <f t="shared" si="11"/>
        <v>1.919078092376074</v>
      </c>
      <c r="CH184" s="32">
        <f t="shared" si="11"/>
        <v>1.9242792860618816</v>
      </c>
      <c r="CI184" s="32">
        <f t="shared" si="11"/>
        <v>1.9294189257142926</v>
      </c>
      <c r="CJ184" s="32">
        <f t="shared" si="11"/>
        <v>1.9344984512435677</v>
      </c>
      <c r="CK184" s="32">
        <f t="shared" si="11"/>
        <v>1.9395192526186185</v>
      </c>
      <c r="CL184" s="32">
        <f t="shared" ref="CL184:CX184" si="12">LOG(CL175)</f>
        <v>1.9444826721501687</v>
      </c>
      <c r="CM184" s="32">
        <f t="shared" si="12"/>
        <v>1.9493900066449128</v>
      </c>
      <c r="CN184" s="32">
        <f t="shared" si="12"/>
        <v>1.954242509439325</v>
      </c>
      <c r="CO184" s="32">
        <f t="shared" si="12"/>
        <v>1.9590413923210936</v>
      </c>
      <c r="CP184" s="32">
        <f t="shared" si="12"/>
        <v>1.9637878273455553</v>
      </c>
      <c r="CQ184" s="32">
        <f t="shared" si="12"/>
        <v>1.968482948553935</v>
      </c>
      <c r="CR184" s="32">
        <f t="shared" si="12"/>
        <v>1.9731278535996986</v>
      </c>
      <c r="CS184" s="32">
        <f t="shared" si="12"/>
        <v>1.9777236052888478</v>
      </c>
      <c r="CT184" s="32">
        <f t="shared" si="12"/>
        <v>1.9822712330395684</v>
      </c>
      <c r="CU184" s="32">
        <f t="shared" si="12"/>
        <v>1.9867717342662448</v>
      </c>
      <c r="CV184" s="32">
        <f t="shared" si="12"/>
        <v>1.9912260756924949</v>
      </c>
      <c r="CW184" s="32">
        <f t="shared" si="12"/>
        <v>1.9956351945975499</v>
      </c>
      <c r="CX184" s="32">
        <f t="shared" si="12"/>
        <v>2</v>
      </c>
      <c r="CY184" s="32"/>
      <c r="CZ184" s="32"/>
      <c r="DA184" s="32"/>
      <c r="DB184" s="32"/>
      <c r="DC184" s="32"/>
      <c r="DD184" s="32"/>
      <c r="DE184" s="32"/>
      <c r="DF184" s="32"/>
      <c r="DG184" s="32"/>
    </row>
    <row r="185" spans="3:111" ht="20.350000000000001" customHeight="1" x14ac:dyDescent="0.45">
      <c r="C185" s="47" t="s">
        <v>45</v>
      </c>
      <c r="D185" s="32">
        <f>LOG(ABS(D176-$E181))</f>
        <v>-0.80730312568071816</v>
      </c>
      <c r="E185" s="32">
        <f t="shared" ref="E185:BP185" si="13">LOG(ABS(E176-$E181))</f>
        <v>-1.4341840385594546</v>
      </c>
      <c r="F185" s="32">
        <f t="shared" si="13"/>
        <v>-1.4346145631030702</v>
      </c>
      <c r="G185" s="32">
        <f t="shared" si="13"/>
        <v>-1.6434438437831786</v>
      </c>
      <c r="H185" s="32">
        <f t="shared" si="13"/>
        <v>-1.6432100416347575</v>
      </c>
      <c r="I185" s="32">
        <f t="shared" si="13"/>
        <v>-1.2224808493488044</v>
      </c>
      <c r="J185" s="32">
        <f t="shared" si="13"/>
        <v>-0.82916549370780779</v>
      </c>
      <c r="K185" s="32">
        <f t="shared" si="13"/>
        <v>-1.0658210691334591</v>
      </c>
      <c r="L185" s="32">
        <f t="shared" si="13"/>
        <v>-0.96193380007130669</v>
      </c>
      <c r="M185" s="32">
        <f t="shared" si="13"/>
        <v>-0.97694324933138887</v>
      </c>
      <c r="N185" s="32">
        <f t="shared" si="13"/>
        <v>-1.1051649490511546</v>
      </c>
      <c r="O185" s="32">
        <f t="shared" si="13"/>
        <v>-0.91798664805711438</v>
      </c>
      <c r="P185" s="32">
        <f t="shared" si="13"/>
        <v>-1.2710089884604958</v>
      </c>
      <c r="Q185" s="32">
        <f t="shared" si="13"/>
        <v>-0.87535817364979362</v>
      </c>
      <c r="R185" s="32">
        <f t="shared" si="13"/>
        <v>-1.4839024990844549</v>
      </c>
      <c r="S185" s="32">
        <f t="shared" si="13"/>
        <v>-2.6068947121916279</v>
      </c>
      <c r="T185" s="32">
        <f t="shared" si="13"/>
        <v>-1.8190111410636045</v>
      </c>
      <c r="U185" s="32">
        <f t="shared" si="13"/>
        <v>-1.8151232638483186</v>
      </c>
      <c r="V185" s="32">
        <f t="shared" si="13"/>
        <v>-4.1557279447963307</v>
      </c>
      <c r="W185" s="32">
        <f t="shared" si="13"/>
        <v>-1.5728930887660943</v>
      </c>
      <c r="X185" s="32">
        <f t="shared" si="13"/>
        <v>-1.8727475080676164</v>
      </c>
      <c r="Y185" s="32">
        <f t="shared" si="13"/>
        <v>-1.4318664323542707</v>
      </c>
      <c r="Z185" s="32">
        <f t="shared" si="13"/>
        <v>-1.5985922332776785</v>
      </c>
      <c r="AA185" s="32">
        <f t="shared" si="13"/>
        <v>-1.3347714536155786</v>
      </c>
      <c r="AB185" s="32">
        <f t="shared" si="13"/>
        <v>-1.446939248055267</v>
      </c>
      <c r="AC185" s="32">
        <f t="shared" si="13"/>
        <v>-1.2621080756884195</v>
      </c>
      <c r="AD185" s="32">
        <f t="shared" si="13"/>
        <v>-1.2034487462015895</v>
      </c>
      <c r="AE185" s="32">
        <f t="shared" si="13"/>
        <v>-1.2048895015392125</v>
      </c>
      <c r="AF185" s="32">
        <f t="shared" si="13"/>
        <v>-1.2815053793170126</v>
      </c>
      <c r="AG185" s="32">
        <f t="shared" si="13"/>
        <v>-1.1582440666860381</v>
      </c>
      <c r="AH185" s="32">
        <f t="shared" si="13"/>
        <v>-1.3687297508496117</v>
      </c>
      <c r="AI185" s="32">
        <f t="shared" si="13"/>
        <v>-1.1192438293500464</v>
      </c>
      <c r="AJ185" s="32">
        <f t="shared" si="13"/>
        <v>-1.4690979983887373</v>
      </c>
      <c r="AK185" s="32">
        <f t="shared" si="13"/>
        <v>-1.0859978330973443</v>
      </c>
      <c r="AL185" s="32">
        <f t="shared" si="13"/>
        <v>-1.5894485856471194</v>
      </c>
      <c r="AM185" s="32">
        <f t="shared" si="13"/>
        <v>-1.0572180987486002</v>
      </c>
      <c r="AN185" s="32">
        <f t="shared" si="13"/>
        <v>-1.7432442236932746</v>
      </c>
      <c r="AO185" s="32">
        <f t="shared" si="13"/>
        <v>-1.0319905719190836</v>
      </c>
      <c r="AP185" s="32">
        <f t="shared" si="13"/>
        <v>-1.9636561815554463</v>
      </c>
      <c r="AQ185" s="32">
        <f t="shared" si="13"/>
        <v>-1.0096449873394742</v>
      </c>
      <c r="AR185" s="32">
        <f t="shared" si="13"/>
        <v>-2.3849452606095776</v>
      </c>
      <c r="AS185" s="32">
        <f t="shared" si="13"/>
        <v>-0.98967653262841104</v>
      </c>
      <c r="AT185" s="32">
        <f t="shared" si="13"/>
        <v>-2.6507447075627169</v>
      </c>
      <c r="AU185" s="32">
        <f t="shared" si="13"/>
        <v>-1.044464915880432</v>
      </c>
      <c r="AV185" s="32">
        <f t="shared" si="13"/>
        <v>-2.0844338929789337</v>
      </c>
      <c r="AW185" s="32">
        <f t="shared" si="13"/>
        <v>-1.0808973421865202</v>
      </c>
      <c r="AX185" s="32">
        <f t="shared" si="13"/>
        <v>-1.8568116641600823</v>
      </c>
      <c r="AY185" s="32">
        <f t="shared" si="13"/>
        <v>-1.1185503374371495</v>
      </c>
      <c r="AZ185" s="32">
        <f t="shared" si="13"/>
        <v>-1.7148829719479908</v>
      </c>
      <c r="BA185" s="32">
        <f t="shared" si="13"/>
        <v>-1.157652152513106</v>
      </c>
      <c r="BB185" s="32">
        <f t="shared" si="13"/>
        <v>-1.6129156478805775</v>
      </c>
      <c r="BC185" s="32">
        <f t="shared" si="13"/>
        <v>-1.1984729527029587</v>
      </c>
      <c r="BD185" s="32">
        <f t="shared" si="13"/>
        <v>-1.5340977716420245</v>
      </c>
      <c r="BE185" s="32">
        <f t="shared" si="13"/>
        <v>-1.2413383962983726</v>
      </c>
      <c r="BF185" s="32">
        <f t="shared" si="13"/>
        <v>-1.4703581339384961</v>
      </c>
      <c r="BG185" s="32">
        <f t="shared" si="13"/>
        <v>-1.2866486849047514</v>
      </c>
      <c r="BH185" s="32">
        <f t="shared" si="13"/>
        <v>-1.4171969828566129</v>
      </c>
      <c r="BI185" s="32">
        <f t="shared" si="13"/>
        <v>-1.3349060588640314</v>
      </c>
      <c r="BJ185" s="32">
        <f t="shared" si="13"/>
        <v>-1.3718498087415136</v>
      </c>
      <c r="BK185" s="32">
        <f t="shared" si="13"/>
        <v>-1.3867557642879773</v>
      </c>
      <c r="BL185" s="32">
        <f t="shared" si="13"/>
        <v>-1.5915964201717085</v>
      </c>
      <c r="BM185" s="32">
        <f t="shared" si="13"/>
        <v>-1.4430493758192655</v>
      </c>
      <c r="BN185" s="32">
        <f t="shared" si="13"/>
        <v>-1.67256633211437</v>
      </c>
      <c r="BO185" s="32">
        <f t="shared" si="13"/>
        <v>-1.5049470268886065</v>
      </c>
      <c r="BP185" s="32">
        <f t="shared" si="13"/>
        <v>-1.7681199056224863</v>
      </c>
      <c r="BQ185" s="32">
        <f t="shared" ref="BQ185:CK185" si="14">LOG(ABS(BQ176-$E181))</f>
        <v>-1.574091412845382</v>
      </c>
      <c r="BR185" s="32">
        <f t="shared" si="14"/>
        <v>-1.885796543098849</v>
      </c>
      <c r="BS185" s="32">
        <f t="shared" si="14"/>
        <v>-1.6529241850380876</v>
      </c>
      <c r="BT185" s="32">
        <f t="shared" si="14"/>
        <v>-2.0409504370238012</v>
      </c>
      <c r="BU185" s="32">
        <f t="shared" si="14"/>
        <v>-1.745312586915222</v>
      </c>
      <c r="BV185" s="32">
        <f t="shared" si="14"/>
        <v>-2.2736471486768446</v>
      </c>
      <c r="BW185" s="32">
        <f t="shared" si="14"/>
        <v>-1.8579427896880647</v>
      </c>
      <c r="BX185" s="32">
        <f t="shared" si="14"/>
        <v>-2.775665766846255</v>
      </c>
      <c r="BY185" s="32">
        <f t="shared" si="14"/>
        <v>-2.0039829170896155</v>
      </c>
      <c r="BZ185" s="32">
        <f t="shared" si="14"/>
        <v>-2.7318707714440311</v>
      </c>
      <c r="CA185" s="32">
        <f t="shared" si="14"/>
        <v>-2.2157148613308286</v>
      </c>
      <c r="CB185" s="32">
        <f t="shared" si="14"/>
        <v>-2.2780426160191163</v>
      </c>
      <c r="CC185" s="32">
        <f t="shared" si="14"/>
        <v>-2.6213195325574596</v>
      </c>
      <c r="CD185" s="32">
        <f t="shared" si="14"/>
        <v>-2.0663780808149488</v>
      </c>
      <c r="CE185" s="32">
        <f t="shared" si="14"/>
        <v>-2.928193118697989</v>
      </c>
      <c r="CF185" s="32">
        <f t="shared" si="14"/>
        <v>-1.928408324661306</v>
      </c>
      <c r="CG185" s="32">
        <f t="shared" si="14"/>
        <v>-2.33392101346513</v>
      </c>
      <c r="CH185" s="32">
        <f t="shared" si="14"/>
        <v>-1.8266631256435901</v>
      </c>
      <c r="CI185" s="32">
        <f t="shared" si="14"/>
        <v>-1.2697523686167091</v>
      </c>
      <c r="CJ185" s="32">
        <f t="shared" si="14"/>
        <v>-1.7465042884813904</v>
      </c>
      <c r="CK185" s="32">
        <f t="shared" si="14"/>
        <v>-1.2994677749343289</v>
      </c>
      <c r="CL185" s="32">
        <f t="shared" ref="CL185:CX185" si="15">LOG(ABS(CL176-$E181))</f>
        <v>-1.6806750133690156</v>
      </c>
      <c r="CM185" s="32">
        <f t="shared" si="15"/>
        <v>-1.3304490370272624</v>
      </c>
      <c r="CN185" s="32">
        <f t="shared" si="15"/>
        <v>-1.6250450931576992</v>
      </c>
      <c r="CO185" s="32">
        <f t="shared" si="15"/>
        <v>-1.3628670436030419</v>
      </c>
      <c r="CP185" s="32">
        <f t="shared" si="15"/>
        <v>-1.5770389500198565</v>
      </c>
      <c r="CQ185" s="32">
        <f t="shared" si="15"/>
        <v>-1.3969253133420008</v>
      </c>
      <c r="CR185" s="32">
        <f t="shared" si="15"/>
        <v>-1.5349421211460521</v>
      </c>
      <c r="CS185" s="32">
        <f t="shared" si="15"/>
        <v>-1.4328691719395297</v>
      </c>
      <c r="CT185" s="32">
        <f t="shared" si="15"/>
        <v>-1.4975559151906552</v>
      </c>
      <c r="CU185" s="32">
        <f t="shared" si="15"/>
        <v>-1.4709983725970586</v>
      </c>
      <c r="CV185" s="32">
        <f t="shared" si="15"/>
        <v>-1.4640094995450359</v>
      </c>
      <c r="CW185" s="32">
        <f t="shared" si="15"/>
        <v>-1.5116848401848393</v>
      </c>
      <c r="CX185" s="32">
        <f t="shared" si="15"/>
        <v>-1.4336504503698639</v>
      </c>
      <c r="CY185" s="32"/>
      <c r="CZ185" s="32"/>
      <c r="DA185" s="32"/>
      <c r="DB185" s="32"/>
      <c r="DC185" s="32"/>
      <c r="DD185" s="32"/>
      <c r="DE185" s="32"/>
      <c r="DF185" s="32"/>
      <c r="DG185" s="32"/>
    </row>
    <row r="186" spans="3:111" ht="20.350000000000001" customHeight="1" x14ac:dyDescent="0.45">
      <c r="C186" s="47" t="s">
        <v>46</v>
      </c>
      <c r="D186" s="32">
        <f>LOG(ABS(D177-$I181))</f>
        <v>-2.3405988854633359</v>
      </c>
      <c r="E186" s="32">
        <f t="shared" ref="E186:BP186" si="16">LOG(ABS(E177-$I181))</f>
        <v>-2.2285069359692704</v>
      </c>
      <c r="F186" s="32">
        <f t="shared" si="16"/>
        <v>-2.3405988854633359</v>
      </c>
      <c r="G186" s="32">
        <f t="shared" si="16"/>
        <v>-2.6674663624421813</v>
      </c>
      <c r="H186" s="32">
        <f t="shared" si="16"/>
        <v>-2.3405988854633359</v>
      </c>
      <c r="I186" s="32">
        <f t="shared" si="16"/>
        <v>-3.4124358352117423</v>
      </c>
      <c r="J186" s="32">
        <f t="shared" si="16"/>
        <v>-2.5467828148234943</v>
      </c>
      <c r="K186" s="32">
        <f t="shared" si="16"/>
        <v>-3.19325170252307</v>
      </c>
      <c r="L186" s="32">
        <f t="shared" si="16"/>
        <v>-2.7862460649060652</v>
      </c>
      <c r="M186" s="32">
        <f t="shared" si="16"/>
        <v>-2.8812277787320051</v>
      </c>
      <c r="N186" s="32">
        <f t="shared" si="16"/>
        <v>-3.1148250929900123</v>
      </c>
      <c r="O186" s="32">
        <f t="shared" si="16"/>
        <v>-2.7470261312998892</v>
      </c>
      <c r="P186" s="32">
        <f t="shared" si="16"/>
        <v>-3.9501572897909449</v>
      </c>
      <c r="Q186" s="32">
        <f t="shared" si="16"/>
        <v>-2.6686280761936123</v>
      </c>
      <c r="R186" s="32">
        <f t="shared" si="16"/>
        <v>-3.3978230282302757</v>
      </c>
      <c r="S186" s="32">
        <f t="shared" si="16"/>
        <v>-2.5635925651865423</v>
      </c>
      <c r="T186" s="32">
        <f t="shared" si="16"/>
        <v>-3.0907725002411222</v>
      </c>
      <c r="U186" s="32">
        <f t="shared" si="16"/>
        <v>-2.6788449324075292</v>
      </c>
      <c r="V186" s="32">
        <f t="shared" si="16"/>
        <v>-2.9397479300019298</v>
      </c>
      <c r="W186" s="32">
        <f t="shared" si="16"/>
        <v>-2.8069106769888035</v>
      </c>
      <c r="X186" s="32">
        <f t="shared" si="16"/>
        <v>-2.8444698023468118</v>
      </c>
      <c r="Y186" s="32">
        <f t="shared" si="16"/>
        <v>-2.9569804287964931</v>
      </c>
      <c r="Z186" s="32">
        <f t="shared" si="16"/>
        <v>-2.7774045477447067</v>
      </c>
      <c r="AA186" s="32">
        <f t="shared" si="16"/>
        <v>-3.1479472096764152</v>
      </c>
      <c r="AB186" s="32">
        <f t="shared" si="16"/>
        <v>-2.7270886782744426</v>
      </c>
      <c r="AC186" s="32">
        <f t="shared" si="16"/>
        <v>-3.4326891943312989</v>
      </c>
      <c r="AD186" s="32">
        <f t="shared" si="16"/>
        <v>-2.6926227387493671</v>
      </c>
      <c r="AE186" s="32">
        <f t="shared" si="16"/>
        <v>-4.1628222240240307</v>
      </c>
      <c r="AF186" s="32">
        <f t="shared" si="16"/>
        <v>-2.7767074576589539</v>
      </c>
      <c r="AG186" s="32">
        <f t="shared" si="16"/>
        <v>-3.7047835422736433</v>
      </c>
      <c r="AH186" s="32">
        <f t="shared" si="16"/>
        <v>-2.8692561028950205</v>
      </c>
      <c r="AI186" s="32">
        <f t="shared" si="16"/>
        <v>-3.3619402043303475</v>
      </c>
      <c r="AJ186" s="32">
        <f t="shared" si="16"/>
        <v>-2.9741089389965896</v>
      </c>
      <c r="AK186" s="32">
        <f t="shared" si="16"/>
        <v>-3.1888307380838947</v>
      </c>
      <c r="AL186" s="32">
        <f t="shared" si="16"/>
        <v>-3.0977702890075802</v>
      </c>
      <c r="AM186" s="32">
        <f t="shared" si="16"/>
        <v>-3.0760357471908275</v>
      </c>
      <c r="AN186" s="32">
        <f t="shared" si="16"/>
        <v>-3.2528119530441169</v>
      </c>
      <c r="AO186" s="32">
        <f t="shared" si="16"/>
        <v>-2.9941895632616098</v>
      </c>
      <c r="AP186" s="32">
        <f t="shared" si="16"/>
        <v>-3.4693215920535119</v>
      </c>
      <c r="AQ186" s="32">
        <f t="shared" si="16"/>
        <v>-2.9310641170486811</v>
      </c>
      <c r="AR186" s="32">
        <f t="shared" si="16"/>
        <v>-3.8603362717192518</v>
      </c>
      <c r="AS186" s="32">
        <f t="shared" si="16"/>
        <v>-2.8804020642850618</v>
      </c>
      <c r="AT186" s="32">
        <f t="shared" si="16"/>
        <v>-4.3214387270097774</v>
      </c>
      <c r="AU186" s="32">
        <f t="shared" si="16"/>
        <v>-3.0377362948637359</v>
      </c>
      <c r="AV186" s="32">
        <f t="shared" si="16"/>
        <v>-3.6589335246195831</v>
      </c>
      <c r="AW186" s="32">
        <f t="shared" si="16"/>
        <v>-3.1375636252732462</v>
      </c>
      <c r="AX186" s="32">
        <f t="shared" si="16"/>
        <v>-3.4220260263691449</v>
      </c>
      <c r="AY186" s="32">
        <f t="shared" si="16"/>
        <v>-3.2576426275367476</v>
      </c>
      <c r="AZ186" s="32">
        <f t="shared" si="16"/>
        <v>-3.2787385119066346</v>
      </c>
      <c r="BA186" s="32">
        <f t="shared" si="16"/>
        <v>-3.4115056746846188</v>
      </c>
      <c r="BB186" s="32">
        <f t="shared" si="16"/>
        <v>-3.1777063236005532</v>
      </c>
      <c r="BC186" s="32">
        <f t="shared" si="16"/>
        <v>-3.6326347879589234</v>
      </c>
      <c r="BD186" s="32">
        <f t="shared" si="16"/>
        <v>-3.1007369534630889</v>
      </c>
      <c r="BE186" s="32">
        <f t="shared" si="16"/>
        <v>-4.0576995300166914</v>
      </c>
      <c r="BF186" s="32">
        <f t="shared" si="16"/>
        <v>-3.0392603877019937</v>
      </c>
      <c r="BG186" s="32">
        <f t="shared" si="16"/>
        <v>-4.3059924604276496</v>
      </c>
      <c r="BH186" s="32">
        <f t="shared" si="16"/>
        <v>-2.9885560596583134</v>
      </c>
      <c r="BI186" s="32">
        <f t="shared" si="16"/>
        <v>-3.7479392832364216</v>
      </c>
      <c r="BJ186" s="32">
        <f t="shared" si="16"/>
        <v>-2.9457488616832301</v>
      </c>
      <c r="BK186" s="32">
        <f t="shared" si="16"/>
        <v>-3.5217258323517968</v>
      </c>
      <c r="BL186" s="32">
        <f t="shared" si="16"/>
        <v>-2.8191350125612238</v>
      </c>
      <c r="BM186" s="32">
        <f t="shared" si="16"/>
        <v>-3.3805221922869735</v>
      </c>
      <c r="BN186" s="32">
        <f t="shared" si="16"/>
        <v>-2.8664479894319603</v>
      </c>
      <c r="BO186" s="32">
        <f t="shared" si="16"/>
        <v>-3.2791013387095598</v>
      </c>
      <c r="BP186" s="32">
        <f t="shared" si="16"/>
        <v>-2.9167609123621467</v>
      </c>
      <c r="BQ186" s="32">
        <f t="shared" ref="BQ186:CK186" si="17">LOG(ABS(BQ177-$I181))</f>
        <v>-3.2007745029725942</v>
      </c>
      <c r="BR186" s="32">
        <f t="shared" si="17"/>
        <v>-2.9707400960624848</v>
      </c>
      <c r="BS186" s="32">
        <f t="shared" si="17"/>
        <v>-3.137512552752534</v>
      </c>
      <c r="BT186" s="32">
        <f t="shared" si="17"/>
        <v>-3.0292688175890854</v>
      </c>
      <c r="BU186" s="32">
        <f t="shared" si="17"/>
        <v>-3.0848323245231937</v>
      </c>
      <c r="BV186" s="32">
        <f t="shared" si="17"/>
        <v>-3.0935562980051983</v>
      </c>
      <c r="BW186" s="32">
        <f t="shared" si="17"/>
        <v>-3.0399760310717046</v>
      </c>
      <c r="BX186" s="32">
        <f t="shared" si="17"/>
        <v>-3.165324649923166</v>
      </c>
      <c r="BY186" s="32">
        <f t="shared" si="17"/>
        <v>-3.0011270813733901</v>
      </c>
      <c r="BZ186" s="32">
        <f t="shared" si="17"/>
        <v>-3.2471521350136632</v>
      </c>
      <c r="CA186" s="32">
        <f t="shared" si="17"/>
        <v>-2.9670261740607091</v>
      </c>
      <c r="CB186" s="32">
        <f t="shared" si="17"/>
        <v>-3.3431617461498497</v>
      </c>
      <c r="CC186" s="32">
        <f t="shared" si="17"/>
        <v>-2.9367650575476696</v>
      </c>
      <c r="CD186" s="32">
        <f t="shared" si="17"/>
        <v>-3.46057976121774</v>
      </c>
      <c r="CE186" s="32">
        <f t="shared" si="17"/>
        <v>-2.9096676055654354</v>
      </c>
      <c r="CF186" s="32">
        <f t="shared" si="17"/>
        <v>-3.6139452490276494</v>
      </c>
      <c r="CG186" s="32">
        <f t="shared" si="17"/>
        <v>-2.8852172971570913</v>
      </c>
      <c r="CH186" s="32">
        <f t="shared" si="17"/>
        <v>-3.8403380236516038</v>
      </c>
      <c r="CI186" s="32">
        <f t="shared" si="17"/>
        <v>-3.0117069254507416</v>
      </c>
      <c r="CJ186" s="32">
        <f t="shared" si="17"/>
        <v>-4.304820241271047</v>
      </c>
      <c r="CK186" s="32">
        <f t="shared" si="17"/>
        <v>-3.0609705293903882</v>
      </c>
      <c r="CL186" s="32">
        <f t="shared" ref="CL186:CX186" si="18">LOG(ABS(CL177-$I181))</f>
        <v>-4.3811391957778065</v>
      </c>
      <c r="CM186" s="32">
        <f t="shared" si="18"/>
        <v>-3.114390409564685</v>
      </c>
      <c r="CN186" s="32">
        <f t="shared" si="18"/>
        <v>-3.8886983844531451</v>
      </c>
      <c r="CO186" s="32">
        <f t="shared" si="18"/>
        <v>-3.172977770953207</v>
      </c>
      <c r="CP186" s="32">
        <f t="shared" si="18"/>
        <v>-3.6705336474225096</v>
      </c>
      <c r="CQ186" s="32">
        <f t="shared" si="18"/>
        <v>-3.2381442498038528</v>
      </c>
      <c r="CR186" s="32">
        <f t="shared" si="18"/>
        <v>-3.5305802429542115</v>
      </c>
      <c r="CS186" s="32">
        <f t="shared" si="18"/>
        <v>-3.3119475806917178</v>
      </c>
      <c r="CT186" s="32">
        <f t="shared" si="18"/>
        <v>-3.4283363316821576</v>
      </c>
      <c r="CU186" s="32">
        <f t="shared" si="18"/>
        <v>-3.39756022831155</v>
      </c>
      <c r="CV186" s="32">
        <f t="shared" si="18"/>
        <v>-3.34833967209397</v>
      </c>
      <c r="CW186" s="32">
        <f t="shared" si="18"/>
        <v>-3.5002588583161374</v>
      </c>
      <c r="CX186" s="32">
        <f t="shared" si="18"/>
        <v>-3.2830173820717516</v>
      </c>
      <c r="CY186" s="32"/>
      <c r="CZ186" s="32"/>
      <c r="DA186" s="32"/>
      <c r="DB186" s="32"/>
      <c r="DC186" s="32"/>
      <c r="DD186" s="32"/>
      <c r="DE186" s="32"/>
      <c r="DF186" s="32"/>
      <c r="DG186" s="32"/>
    </row>
    <row r="187" spans="3:111" ht="20.350000000000001" customHeight="1" x14ac:dyDescent="0.45">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2"/>
      <c r="AB187" s="32"/>
      <c r="AC187" s="32"/>
      <c r="AD187" s="32"/>
      <c r="AE187" s="32"/>
      <c r="AF187" s="32"/>
      <c r="AG187" s="32"/>
      <c r="AH187" s="32"/>
      <c r="AI187" s="32"/>
      <c r="AJ187" s="32"/>
      <c r="AK187" s="32"/>
      <c r="AL187" s="32"/>
      <c r="AM187" s="32"/>
      <c r="AN187" s="32"/>
      <c r="AO187" s="32"/>
      <c r="AP187" s="32"/>
      <c r="AQ187" s="32"/>
      <c r="AR187" s="32"/>
      <c r="AS187" s="32"/>
      <c r="AT187" s="32"/>
      <c r="AU187" s="32"/>
      <c r="AV187" s="32"/>
      <c r="AW187" s="32"/>
      <c r="AX187" s="32"/>
      <c r="AY187" s="32"/>
      <c r="AZ187" s="32"/>
      <c r="BA187" s="32"/>
      <c r="BB187" s="32"/>
      <c r="BC187" s="32"/>
      <c r="BD187" s="32"/>
      <c r="BE187" s="32"/>
      <c r="BF187" s="32"/>
      <c r="BG187" s="32"/>
      <c r="BH187" s="32"/>
      <c r="BI187" s="32"/>
      <c r="BJ187" s="32"/>
      <c r="BK187" s="32"/>
      <c r="BL187" s="32"/>
      <c r="BM187" s="32"/>
      <c r="BN187" s="32"/>
      <c r="BO187" s="32"/>
      <c r="BP187" s="32"/>
      <c r="BQ187" s="32"/>
      <c r="BR187" s="32"/>
      <c r="BS187" s="32"/>
      <c r="BT187" s="32"/>
      <c r="BU187" s="32"/>
      <c r="BV187" s="32"/>
      <c r="BW187" s="32"/>
      <c r="BX187" s="32"/>
      <c r="BY187" s="32"/>
      <c r="BZ187" s="32"/>
      <c r="CA187" s="32"/>
      <c r="CB187" s="32"/>
      <c r="CC187" s="32"/>
      <c r="CD187" s="32"/>
      <c r="CE187" s="32"/>
      <c r="CF187" s="32"/>
      <c r="CG187" s="32"/>
      <c r="CH187" s="32"/>
      <c r="CI187" s="32"/>
      <c r="CJ187" s="32"/>
      <c r="CK187" s="32"/>
      <c r="CL187" s="32"/>
      <c r="CM187" s="32"/>
      <c r="CN187" s="32"/>
      <c r="CO187" s="32"/>
      <c r="CP187" s="32"/>
      <c r="CQ187" s="32"/>
      <c r="CR187" s="32"/>
      <c r="CS187" s="32"/>
      <c r="CT187" s="32"/>
      <c r="CU187" s="32"/>
      <c r="CV187" s="32"/>
      <c r="CW187" s="32"/>
      <c r="CX187" s="32"/>
      <c r="CY187" s="32"/>
      <c r="CZ187" s="32"/>
      <c r="DA187" s="32"/>
      <c r="DB187" s="32"/>
      <c r="DC187" s="32"/>
      <c r="DD187" s="32"/>
      <c r="DE187" s="32"/>
      <c r="DF187" s="32"/>
      <c r="DG187" s="32"/>
    </row>
    <row r="188" spans="3:111" ht="20.350000000000001" customHeight="1" x14ac:dyDescent="0.45">
      <c r="C188" s="47" t="s">
        <v>48</v>
      </c>
      <c r="D188" s="32"/>
      <c r="E188" s="32"/>
      <c r="F188" s="32"/>
      <c r="G188" s="32"/>
      <c r="H188" s="32"/>
      <c r="I188" s="32"/>
      <c r="J188" s="32"/>
      <c r="K188" s="32"/>
      <c r="L188" s="32"/>
      <c r="M188" s="32"/>
      <c r="N188" s="32"/>
      <c r="O188" s="32"/>
      <c r="P188" s="32"/>
      <c r="Q188" s="32"/>
      <c r="R188" s="32"/>
      <c r="S188" s="32"/>
      <c r="T188" s="32"/>
      <c r="U188" s="32"/>
      <c r="V188" s="32"/>
      <c r="W188" s="32"/>
      <c r="X188" s="32"/>
      <c r="Y188" s="32"/>
      <c r="Z188" s="32">
        <f>X190</f>
        <v>5.8726742383140413</v>
      </c>
      <c r="AA188" s="32"/>
      <c r="AB188" s="32">
        <f>X192</f>
        <v>3.2133213638217657</v>
      </c>
      <c r="AC188" s="32"/>
      <c r="AD188" s="32"/>
      <c r="AE188" s="32"/>
      <c r="AF188" s="32"/>
      <c r="AG188" s="32"/>
      <c r="AH188" s="32"/>
      <c r="AI188" s="32"/>
      <c r="AJ188" s="32"/>
      <c r="AK188" s="32"/>
      <c r="AL188" s="32"/>
      <c r="AM188" s="32"/>
      <c r="AN188" s="32"/>
      <c r="AO188" s="32"/>
      <c r="AP188" s="32"/>
      <c r="AQ188" s="32"/>
      <c r="AR188" s="32"/>
      <c r="AS188" s="32"/>
      <c r="AT188" s="32"/>
      <c r="AU188" s="32"/>
      <c r="AV188" s="32"/>
      <c r="AW188" s="32"/>
      <c r="AX188" s="32"/>
      <c r="AY188" s="32"/>
      <c r="AZ188" s="32"/>
      <c r="BA188" s="32"/>
      <c r="BB188" s="32"/>
      <c r="BC188" s="32"/>
      <c r="BD188" s="32"/>
      <c r="BE188" s="32"/>
      <c r="BF188" s="32"/>
      <c r="BG188" s="32"/>
      <c r="BH188" s="32"/>
      <c r="BI188" s="32"/>
      <c r="BJ188" s="32"/>
      <c r="BK188" s="32"/>
      <c r="BL188" s="32"/>
      <c r="BM188" s="32"/>
      <c r="BN188" s="32"/>
      <c r="BO188" s="32"/>
      <c r="BP188" s="32"/>
      <c r="BQ188" s="32"/>
      <c r="BR188" s="32"/>
      <c r="BS188" s="32"/>
      <c r="BT188" s="32"/>
      <c r="BU188" s="32"/>
      <c r="BV188" s="32"/>
      <c r="BW188" s="32"/>
      <c r="BX188" s="32"/>
      <c r="BY188" s="32"/>
      <c r="BZ188" s="32"/>
      <c r="CA188" s="32"/>
      <c r="CB188" s="32"/>
      <c r="CC188" s="32"/>
      <c r="CD188" s="32"/>
      <c r="CE188" s="32"/>
      <c r="CF188" s="32"/>
      <c r="CG188" s="32"/>
      <c r="CH188" s="32"/>
      <c r="CI188" s="32"/>
      <c r="CJ188" s="32"/>
      <c r="CK188" s="32"/>
      <c r="CL188" s="32"/>
      <c r="CM188" s="32"/>
      <c r="CN188" s="32"/>
      <c r="CO188" s="32"/>
      <c r="CP188" s="32"/>
      <c r="CQ188" s="32"/>
      <c r="CR188" s="32"/>
      <c r="CS188" s="32"/>
      <c r="CT188" s="32"/>
      <c r="CU188" s="32"/>
      <c r="CV188" s="32"/>
      <c r="CW188" s="32"/>
      <c r="CX188" s="32"/>
      <c r="CY188" s="32"/>
      <c r="CZ188" s="32"/>
      <c r="DA188" s="32"/>
      <c r="DB188" s="32"/>
      <c r="DC188" s="32"/>
      <c r="DD188" s="32"/>
      <c r="DE188" s="32"/>
      <c r="DF188" s="32"/>
      <c r="DG188" s="32"/>
    </row>
    <row r="189" spans="3:111" ht="20.350000000000001" customHeight="1" x14ac:dyDescent="0.45">
      <c r="C189" s="47" t="s">
        <v>38</v>
      </c>
      <c r="D189" s="32" cm="1">
        <f t="array" ref="D189">PriceCallArit($C124,$C125,$C126,$C127,D175,$C128)</f>
        <v>5.7426650228919582</v>
      </c>
      <c r="E189" s="32" cm="1">
        <f t="array" ref="E189">PriceCallArit($C124,$C125,$C126,$C127,E175,$C128)</f>
        <v>5.6202000046594174</v>
      </c>
      <c r="F189" s="32" cm="1">
        <f t="array" ref="F189">PriceCallArit($C124,$C125,$C126,$C127,F175,$C128)</f>
        <v>5.6791835840411649</v>
      </c>
      <c r="G189" s="32" cm="1">
        <f t="array" ref="G189">PriceCallArit($C124,$C125,$C126,$C127,G175,$C128)</f>
        <v>5.6643533192589652</v>
      </c>
      <c r="H189" s="32" cm="1">
        <f t="array" ref="H189">PriceCallArit($C124,$C125,$C126,$C127,H175,$C128)</f>
        <v>5.6860897910856334</v>
      </c>
      <c r="I189" s="32" cm="1">
        <f t="array" ref="I189">PriceCallArit($C124,$C125,$C126,$C127,I175,$C128)</f>
        <v>5.6901542731199539</v>
      </c>
      <c r="J189" s="32" cm="1">
        <f t="array" ref="J189">PriceCallArit($C124,$C125,$C126,$C127,J175,$C128)</f>
        <v>5.6984184470158477</v>
      </c>
      <c r="K189" s="32" cm="1">
        <f t="array" ref="K189">PriceCallArit($C124,$C125,$C126,$C127,K175,$C128)</f>
        <v>5.7069974033607505</v>
      </c>
      <c r="L189" s="32" cm="1">
        <f t="array" ref="L189">PriceCallArit($C124,$C125,$C126,$C127,L175,$C128)</f>
        <v>5.710053096718382</v>
      </c>
      <c r="M189" s="32" cm="1">
        <f t="array" ref="M189">PriceCallArit($C124,$C125,$C126,$C127,M175,$C128)</f>
        <v>5.716252622034137</v>
      </c>
      <c r="N189" s="32" cm="1">
        <f t="array" ref="N189">PriceCallArit($C124,$C125,$C126,$C127,N175,$C128)</f>
        <v>5.7186012466021712</v>
      </c>
      <c r="O189" s="32" cm="1">
        <f t="array" ref="O189">PriceCallArit($C124,$C125,$C126,$C127,O175,$C128)</f>
        <v>5.7227804573758743</v>
      </c>
      <c r="P189" s="32" cm="1">
        <f t="array" ref="P189">PriceCallArit($C124,$C125,$C126,$C127,P175,$C128)</f>
        <v>5.724658857382817</v>
      </c>
      <c r="Q189" s="32" cm="1">
        <f t="array" ref="Q189">PriceCallArit($C124,$C125,$C126,$C127,Q175,$C128)</f>
        <v>5.7275331725604532</v>
      </c>
      <c r="R189" s="32" cm="1">
        <f t="array" ref="R189">PriceCallArit($C124,$C125,$C126,$C127,R175,$C128)</f>
        <v>5.729158530512934</v>
      </c>
      <c r="S189" s="32"/>
      <c r="T189" s="32"/>
      <c r="U189" s="32"/>
      <c r="V189" s="32"/>
      <c r="W189" s="32"/>
      <c r="X189" s="32"/>
      <c r="Y189" s="32"/>
      <c r="Z189" s="32">
        <f>X190</f>
        <v>5.8726742383140413</v>
      </c>
      <c r="AA189" s="32"/>
      <c r="AB189" s="32">
        <f>X192</f>
        <v>3.2133213638217657</v>
      </c>
      <c r="AC189" s="32"/>
      <c r="AD189" s="32"/>
      <c r="AE189" s="32"/>
      <c r="AF189" s="32"/>
      <c r="AG189" s="32"/>
      <c r="AH189" s="32"/>
      <c r="AI189" s="32"/>
      <c r="AJ189" s="32"/>
      <c r="AK189" s="32"/>
      <c r="AL189" s="32"/>
      <c r="AM189" s="32"/>
      <c r="AN189" s="32"/>
      <c r="AO189" s="32"/>
      <c r="AP189" s="32"/>
      <c r="AQ189" s="32"/>
      <c r="AR189" s="32"/>
      <c r="AS189" s="32"/>
      <c r="AT189" s="32"/>
      <c r="AU189" s="32"/>
      <c r="AV189" s="32"/>
      <c r="AW189" s="32"/>
      <c r="AX189" s="32"/>
      <c r="AY189" s="32"/>
      <c r="AZ189" s="32"/>
      <c r="BA189" s="32"/>
      <c r="BB189" s="32"/>
      <c r="BC189" s="32"/>
      <c r="BD189" s="32"/>
      <c r="BE189" s="32"/>
      <c r="BF189" s="32"/>
      <c r="BG189" s="32"/>
      <c r="BH189" s="32"/>
      <c r="BI189" s="32"/>
      <c r="BJ189" s="32"/>
      <c r="BK189" s="32"/>
      <c r="BL189" s="32"/>
      <c r="BM189" s="32"/>
      <c r="BN189" s="32"/>
      <c r="BO189" s="32"/>
      <c r="BP189" s="32"/>
      <c r="BQ189" s="32"/>
      <c r="BR189" s="32"/>
      <c r="BS189" s="32"/>
      <c r="BT189" s="32"/>
      <c r="BU189" s="32"/>
      <c r="BV189" s="32"/>
      <c r="BW189" s="32"/>
      <c r="BX189" s="32"/>
      <c r="BY189" s="32"/>
      <c r="BZ189" s="32"/>
      <c r="CA189" s="32"/>
      <c r="CB189" s="32"/>
      <c r="CC189" s="32"/>
      <c r="CD189" s="32"/>
      <c r="CE189" s="32"/>
      <c r="CF189" s="32"/>
      <c r="CG189" s="32"/>
      <c r="CH189" s="32"/>
      <c r="CI189" s="32"/>
      <c r="CJ189" s="32"/>
      <c r="CK189" s="32"/>
      <c r="CL189" s="32"/>
      <c r="CM189" s="32"/>
      <c r="CN189" s="32"/>
      <c r="CO189" s="32"/>
      <c r="CP189" s="32"/>
      <c r="CQ189" s="32"/>
      <c r="CR189" s="32"/>
      <c r="CS189" s="32"/>
      <c r="CT189" s="32"/>
      <c r="CU189" s="32"/>
      <c r="CV189" s="32"/>
      <c r="CW189" s="32"/>
      <c r="CX189" s="32"/>
      <c r="CY189" s="32"/>
      <c r="CZ189" s="32"/>
      <c r="DA189" s="32"/>
      <c r="DB189" s="32"/>
      <c r="DC189" s="32"/>
      <c r="DD189" s="32"/>
      <c r="DE189" s="32"/>
      <c r="DF189" s="32"/>
      <c r="DG189" s="32"/>
    </row>
    <row r="190" spans="3:111" ht="20.350000000000001" customHeight="1" x14ac:dyDescent="0.45">
      <c r="C190" s="47" t="s">
        <v>49</v>
      </c>
      <c r="D190" s="32" cm="1">
        <f t="array" ref="D190">DeltaCallArit($C124,$C125,$C126,$C127,D175,$C128)</f>
        <v>0.41621943142639461</v>
      </c>
      <c r="E190" s="32" cm="1">
        <f t="array" ref="E190">DeltaCallArit($C124,$C125,$C126,$C127,E175,$C128)</f>
        <v>0.45473951065650486</v>
      </c>
      <c r="F190" s="32" cm="1">
        <f t="array" ref="F190">DeltaCallArit($C124,$C125,$C126,$C127,F175,$C128)</f>
        <v>0.47843661443603347</v>
      </c>
      <c r="G190" s="32" cm="1">
        <f t="array" ref="G190">DeltaCallArit($C124,$C125,$C126,$C127,G175,$C128)</f>
        <v>0.50169236191469102</v>
      </c>
      <c r="H190" s="32" cm="1">
        <f t="array" ref="H190">DeltaCallArit($C124,$C125,$C126,$C127,H175,$C128)</f>
        <v>0.51302536643633112</v>
      </c>
      <c r="I190" s="32" cm="1">
        <f t="array" ref="I190">DeltaCallArit($C124,$C125,$C126,$C127,I175,$C128)</f>
        <v>0.52115651497618887</v>
      </c>
      <c r="J190" s="32" cm="1">
        <f t="array" ref="J190">DeltaCallArit($C124,$C125,$C126,$C127,J175,$C128)</f>
        <v>0.52938536167120243</v>
      </c>
      <c r="K190" s="32" cm="1">
        <f t="array" ref="K190">DeltaCallArit($C124,$C125,$C126,$C127,K175,$C128)</f>
        <v>0.53548385674006793</v>
      </c>
      <c r="L190" s="32" cm="1">
        <f t="array" ref="L190">DeltaCallArit($C124,$C125,$C126,$C127,L175,$C128)</f>
        <v>0.54017663103894797</v>
      </c>
      <c r="M190" s="32" cm="1">
        <f t="array" ref="M190">DeltaCallArit($C124,$C125,$C126,$C127,M175,$C128)</f>
        <v>0.54426752643670584</v>
      </c>
      <c r="N190" s="32" cm="1">
        <f t="array" ref="N190">DeltaCallArit($C124,$C125,$C126,$C127,N175,$C128)</f>
        <v>0.54771852105519458</v>
      </c>
      <c r="O190" s="32" cm="1">
        <f t="array" ref="O190">DeltaCallArit($C124,$C125,$C126,$C127,O175,$C128)</f>
        <v>0.5506263116163328</v>
      </c>
      <c r="P190" s="32" cm="1">
        <f t="array" ref="P190">DeltaCallArit($C124,$C125,$C126,$C127,P175,$C128)</f>
        <v>0.55319403219704222</v>
      </c>
      <c r="Q190" s="32" cm="1">
        <f t="array" ref="Q190">DeltaCallArit($C124,$C125,$C126,$C127,Q175,$C128)</f>
        <v>0.55542034742503021</v>
      </c>
      <c r="R190" s="32" cm="1">
        <f t="array" ref="R190">DeltaCallArit($C124,$C125,$C126,$C127,R175,$C128)</f>
        <v>0.55739526429641928</v>
      </c>
      <c r="S190" s="32"/>
      <c r="T190" s="32"/>
      <c r="U190" s="32"/>
      <c r="V190" s="32"/>
      <c r="W190" s="47" t="s">
        <v>60</v>
      </c>
      <c r="X190" s="32" cm="1">
        <f t="array" ref="X190">PriceCallAritMC(C124, C125, C126, C127, 1, C128)</f>
        <v>5.8726742383140413</v>
      </c>
      <c r="Y190" s="32"/>
      <c r="Z190" s="32"/>
      <c r="AA190" s="32"/>
      <c r="AB190" s="32"/>
      <c r="AC190" s="32"/>
      <c r="AD190" s="32"/>
      <c r="AE190" s="32"/>
      <c r="AF190" s="32"/>
      <c r="AG190" s="32"/>
      <c r="AH190" s="32"/>
      <c r="AI190" s="32"/>
      <c r="AJ190" s="32"/>
      <c r="AK190" s="32"/>
      <c r="AL190" s="32"/>
      <c r="AM190" s="32"/>
      <c r="AN190" s="32"/>
      <c r="AO190" s="32"/>
      <c r="AP190" s="32"/>
      <c r="AQ190" s="32"/>
      <c r="AR190" s="32"/>
      <c r="AS190" s="32"/>
      <c r="AT190" s="32"/>
      <c r="AU190" s="32"/>
      <c r="AV190" s="32"/>
      <c r="AW190" s="32"/>
      <c r="AX190" s="32"/>
      <c r="AY190" s="32"/>
      <c r="AZ190" s="32"/>
      <c r="BA190" s="32"/>
      <c r="BB190" s="32"/>
      <c r="BC190" s="32"/>
      <c r="BD190" s="32"/>
      <c r="BE190" s="32"/>
      <c r="BF190" s="32"/>
      <c r="BG190" s="32"/>
      <c r="BH190" s="32"/>
      <c r="BI190" s="32"/>
      <c r="BJ190" s="32"/>
      <c r="BK190" s="32"/>
      <c r="BL190" s="32"/>
      <c r="BM190" s="32"/>
      <c r="BN190" s="32"/>
      <c r="BO190" s="32"/>
      <c r="BP190" s="32"/>
      <c r="BQ190" s="32"/>
      <c r="BR190" s="32"/>
      <c r="BS190" s="32"/>
      <c r="BT190" s="32"/>
      <c r="BU190" s="32"/>
      <c r="BV190" s="32"/>
      <c r="BW190" s="32"/>
      <c r="BX190" s="32"/>
      <c r="BY190" s="32"/>
      <c r="BZ190" s="32"/>
      <c r="CA190" s="32"/>
      <c r="CB190" s="32"/>
      <c r="CC190" s="32"/>
      <c r="CD190" s="32"/>
      <c r="CE190" s="32"/>
      <c r="CF190" s="32"/>
      <c r="CG190" s="32"/>
      <c r="CH190" s="32"/>
      <c r="CI190" s="32"/>
      <c r="CJ190" s="32"/>
      <c r="CK190" s="32"/>
      <c r="CL190" s="32"/>
      <c r="CM190" s="32"/>
      <c r="CN190" s="32"/>
      <c r="CO190" s="32"/>
      <c r="CP190" s="32"/>
      <c r="CQ190" s="32"/>
      <c r="CR190" s="32"/>
      <c r="CS190" s="32"/>
      <c r="CT190" s="32"/>
      <c r="CU190" s="32"/>
      <c r="CV190" s="32"/>
      <c r="CW190" s="32"/>
      <c r="CX190" s="32"/>
      <c r="CY190" s="32"/>
      <c r="CZ190" s="32"/>
      <c r="DA190" s="32"/>
      <c r="DB190" s="32"/>
      <c r="DC190" s="32"/>
      <c r="DD190" s="32"/>
      <c r="DE190" s="32"/>
      <c r="DF190" s="32"/>
      <c r="DG190" s="32"/>
    </row>
    <row r="191" spans="3:111" ht="20.350000000000001" customHeight="1" x14ac:dyDescent="0.45">
      <c r="C191" s="47" t="s">
        <v>50</v>
      </c>
      <c r="D191" s="32">
        <f>LOG(ABS(D189-$X190))</f>
        <v>-0.88602586257691818</v>
      </c>
      <c r="E191" s="32">
        <f t="shared" ref="E191:R191" si="19">LOG(ABS(E189-$X190))</f>
        <v>-0.59778293735761734</v>
      </c>
      <c r="F191" s="32">
        <f t="shared" si="19"/>
        <v>-0.71334000685043852</v>
      </c>
      <c r="G191" s="32">
        <f t="shared" si="19"/>
        <v>-0.68126711711887378</v>
      </c>
      <c r="H191" s="32">
        <f t="shared" si="19"/>
        <v>-0.72912455975556023</v>
      </c>
      <c r="I191" s="32">
        <f t="shared" si="19"/>
        <v>-0.73868962271779237</v>
      </c>
      <c r="J191" s="32">
        <f t="shared" si="19"/>
        <v>-0.75881277944485326</v>
      </c>
      <c r="K191" s="32">
        <f t="shared" si="19"/>
        <v>-0.78073821068299043</v>
      </c>
      <c r="L191" s="32">
        <f t="shared" si="19"/>
        <v>-0.78882299452623972</v>
      </c>
      <c r="M191" s="32">
        <f t="shared" si="19"/>
        <v>-0.80570323092841911</v>
      </c>
      <c r="N191" s="32">
        <f t="shared" si="19"/>
        <v>-0.81227348443867708</v>
      </c>
      <c r="O191" s="32">
        <f t="shared" si="19"/>
        <v>-0.82421638556576893</v>
      </c>
      <c r="P191" s="32">
        <f t="shared" si="19"/>
        <v>-0.82969315280451073</v>
      </c>
      <c r="Q191" s="32">
        <f t="shared" si="19"/>
        <v>-0.83820969227002684</v>
      </c>
      <c r="R191" s="32">
        <f t="shared" si="19"/>
        <v>-0.84310056277663459</v>
      </c>
      <c r="S191" s="32"/>
      <c r="T191" s="32"/>
      <c r="U191" s="32"/>
      <c r="V191" s="32"/>
      <c r="W191" s="47" t="s">
        <v>61</v>
      </c>
      <c r="X191" s="32" cm="1">
        <f t="array" ref="X191">DeltaCallAritMC(C124, C125, C126, C127, 1, C128)</f>
        <v>0.59993014441510617</v>
      </c>
      <c r="Y191" s="32"/>
      <c r="Z191" s="32">
        <f>X191</f>
        <v>0.59993014441510617</v>
      </c>
      <c r="AA191" s="32"/>
      <c r="AB191" s="32">
        <f>X193</f>
        <v>-0.3778928088326694</v>
      </c>
      <c r="AC191" s="32"/>
      <c r="AD191" s="32"/>
      <c r="AE191" s="32"/>
      <c r="AF191" s="32"/>
      <c r="AG191" s="32"/>
      <c r="AH191" s="32"/>
      <c r="AI191" s="32"/>
      <c r="AJ191" s="32"/>
      <c r="AK191" s="32"/>
      <c r="AL191" s="32"/>
      <c r="AM191" s="32"/>
      <c r="AN191" s="32"/>
      <c r="AO191" s="32"/>
      <c r="AP191" s="32"/>
      <c r="AQ191" s="32"/>
      <c r="AR191" s="32"/>
      <c r="AS191" s="32"/>
      <c r="AT191" s="32"/>
      <c r="AU191" s="32"/>
      <c r="AV191" s="32"/>
      <c r="AW191" s="32"/>
      <c r="AX191" s="32"/>
      <c r="AY191" s="32"/>
      <c r="AZ191" s="32"/>
      <c r="BA191" s="32"/>
      <c r="BB191" s="32"/>
      <c r="BC191" s="32"/>
      <c r="BD191" s="32"/>
      <c r="BE191" s="32"/>
      <c r="BF191" s="32"/>
      <c r="BG191" s="32"/>
      <c r="BH191" s="32"/>
      <c r="BI191" s="32"/>
      <c r="BJ191" s="32"/>
      <c r="BK191" s="32"/>
      <c r="BL191" s="32"/>
      <c r="BM191" s="32"/>
      <c r="BN191" s="32"/>
      <c r="BO191" s="32"/>
      <c r="BP191" s="32"/>
      <c r="BQ191" s="32"/>
      <c r="BR191" s="32"/>
      <c r="BS191" s="32"/>
      <c r="BT191" s="32"/>
      <c r="BU191" s="32"/>
      <c r="BV191" s="32"/>
      <c r="BW191" s="32"/>
      <c r="BX191" s="32"/>
      <c r="BY191" s="32"/>
      <c r="BZ191" s="32"/>
      <c r="CA191" s="32"/>
      <c r="CB191" s="32"/>
      <c r="CC191" s="32"/>
      <c r="CD191" s="32"/>
      <c r="CE191" s="32"/>
      <c r="CF191" s="32"/>
      <c r="CG191" s="32"/>
      <c r="CH191" s="32"/>
      <c r="CI191" s="32"/>
      <c r="CJ191" s="32"/>
      <c r="CK191" s="32"/>
      <c r="CL191" s="32"/>
      <c r="CM191" s="32"/>
      <c r="CN191" s="32"/>
      <c r="CO191" s="32"/>
      <c r="CP191" s="32"/>
      <c r="CQ191" s="32"/>
      <c r="CR191" s="32"/>
      <c r="CS191" s="32"/>
      <c r="CT191" s="32"/>
      <c r="CU191" s="32"/>
      <c r="CV191" s="32"/>
      <c r="CW191" s="32"/>
      <c r="CX191" s="32"/>
      <c r="CY191" s="32"/>
      <c r="CZ191" s="32"/>
      <c r="DA191" s="32"/>
      <c r="DB191" s="32"/>
      <c r="DC191" s="32"/>
      <c r="DD191" s="32"/>
      <c r="DE191" s="32"/>
      <c r="DF191" s="32"/>
      <c r="DG191" s="32"/>
    </row>
    <row r="192" spans="3:111" ht="20.350000000000001" customHeight="1" x14ac:dyDescent="0.45">
      <c r="C192" s="47" t="s">
        <v>51</v>
      </c>
      <c r="D192" s="32">
        <f>LOG(ABS(D190-$X191))</f>
        <v>-0.73586551731301142</v>
      </c>
      <c r="E192" s="32">
        <f t="shared" ref="E192:R192" si="20">LOG(ABS(E190-$X191))</f>
        <v>-0.83806139905022681</v>
      </c>
      <c r="F192" s="32">
        <f t="shared" si="20"/>
        <v>-0.91544684938422294</v>
      </c>
      <c r="G192" s="32">
        <f t="shared" si="20"/>
        <v>-1.0077214493248801</v>
      </c>
      <c r="H192" s="32">
        <f t="shared" si="20"/>
        <v>-1.0609563456137843</v>
      </c>
      <c r="I192" s="32">
        <f t="shared" si="20"/>
        <v>-1.1036191442605117</v>
      </c>
      <c r="J192" s="32">
        <f t="shared" si="20"/>
        <v>-1.1515350996887639</v>
      </c>
      <c r="K192" s="32">
        <f t="shared" si="20"/>
        <v>-1.1908020944266424</v>
      </c>
      <c r="L192" s="32">
        <f t="shared" si="20"/>
        <v>-1.2236365540615075</v>
      </c>
      <c r="M192" s="32">
        <f t="shared" si="20"/>
        <v>-1.2544363713610316</v>
      </c>
      <c r="N192" s="32">
        <f t="shared" si="20"/>
        <v>-1.2822328035276205</v>
      </c>
      <c r="O192" s="32">
        <f t="shared" si="20"/>
        <v>-1.3071193180725542</v>
      </c>
      <c r="P192" s="32">
        <f t="shared" si="20"/>
        <v>-1.3303474175849332</v>
      </c>
      <c r="Q192" s="32">
        <f t="shared" si="20"/>
        <v>-1.3515443865373122</v>
      </c>
      <c r="R192" s="32">
        <f t="shared" si="20"/>
        <v>-1.3712547868832037</v>
      </c>
      <c r="S192" s="32"/>
      <c r="T192" s="32"/>
      <c r="U192" s="32"/>
      <c r="V192" s="32"/>
      <c r="W192" s="47" t="s">
        <v>62</v>
      </c>
      <c r="X192" s="32" cm="1">
        <f t="array" ref="X192">PricePutAritMC(C124, C125, C126, C127, 1, C128)</f>
        <v>3.2133213638217657</v>
      </c>
      <c r="Y192" s="32"/>
      <c r="Z192" s="32">
        <f>X191</f>
        <v>0.59993014441510617</v>
      </c>
      <c r="AA192" s="32"/>
      <c r="AB192" s="32">
        <f>X193</f>
        <v>-0.3778928088326694</v>
      </c>
      <c r="AC192" s="32"/>
      <c r="AD192" s="32"/>
      <c r="AE192" s="32"/>
      <c r="AF192" s="32"/>
      <c r="AG192" s="32"/>
      <c r="AH192" s="32"/>
      <c r="AI192" s="32"/>
      <c r="AJ192" s="32"/>
      <c r="AK192" s="32"/>
      <c r="AL192" s="32"/>
      <c r="AM192" s="32"/>
      <c r="AN192" s="32"/>
      <c r="AO192" s="32"/>
      <c r="AP192" s="32"/>
      <c r="AQ192" s="32"/>
      <c r="AR192" s="32"/>
      <c r="AS192" s="32"/>
      <c r="AT192" s="32"/>
      <c r="AU192" s="32"/>
      <c r="AV192" s="32"/>
      <c r="AW192" s="32"/>
      <c r="AX192" s="32"/>
      <c r="AY192" s="32"/>
      <c r="AZ192" s="32"/>
      <c r="BA192" s="32"/>
      <c r="BB192" s="32"/>
      <c r="BC192" s="32"/>
      <c r="BD192" s="32"/>
      <c r="BE192" s="32"/>
      <c r="BF192" s="32"/>
      <c r="BG192" s="32"/>
      <c r="BH192" s="32"/>
      <c r="BI192" s="32"/>
      <c r="BJ192" s="32"/>
      <c r="BK192" s="32"/>
      <c r="BL192" s="32"/>
      <c r="BM192" s="32"/>
      <c r="BN192" s="32"/>
      <c r="BO192" s="32"/>
      <c r="BP192" s="32"/>
      <c r="BQ192" s="32"/>
      <c r="BR192" s="32"/>
      <c r="BS192" s="32"/>
      <c r="BT192" s="32"/>
      <c r="BU192" s="32"/>
      <c r="BV192" s="32"/>
      <c r="BW192" s="32"/>
      <c r="BX192" s="32"/>
      <c r="BY192" s="32"/>
      <c r="BZ192" s="32"/>
      <c r="CA192" s="32"/>
      <c r="CB192" s="32"/>
      <c r="CC192" s="32"/>
      <c r="CD192" s="32"/>
      <c r="CE192" s="32"/>
      <c r="CF192" s="32"/>
      <c r="CG192" s="32"/>
      <c r="CH192" s="32"/>
      <c r="CI192" s="32"/>
      <c r="CJ192" s="32"/>
      <c r="CK192" s="32"/>
      <c r="CL192" s="32"/>
      <c r="CM192" s="32"/>
      <c r="CN192" s="32"/>
      <c r="CO192" s="32"/>
      <c r="CP192" s="32"/>
      <c r="CQ192" s="32"/>
      <c r="CR192" s="32"/>
      <c r="CS192" s="32"/>
      <c r="CT192" s="32"/>
      <c r="CU192" s="32"/>
      <c r="CV192" s="32"/>
      <c r="CW192" s="32"/>
      <c r="CX192" s="32"/>
      <c r="CY192" s="32"/>
      <c r="CZ192" s="32"/>
      <c r="DA192" s="32"/>
      <c r="DB192" s="32"/>
      <c r="DC192" s="32"/>
      <c r="DD192" s="32"/>
      <c r="DE192" s="32"/>
      <c r="DF192" s="32"/>
      <c r="DG192" s="32"/>
    </row>
    <row r="193" spans="3:111" ht="20.350000000000001" customHeight="1" x14ac:dyDescent="0.45">
      <c r="C193" s="32"/>
      <c r="D193" s="32"/>
      <c r="E193" s="32"/>
      <c r="F193" s="32"/>
      <c r="G193" s="32"/>
      <c r="H193" s="32"/>
      <c r="I193" s="32"/>
      <c r="J193" s="32"/>
      <c r="K193" s="32"/>
      <c r="L193" s="32"/>
      <c r="M193" s="32"/>
      <c r="N193" s="32"/>
      <c r="O193" s="32"/>
      <c r="P193" s="32"/>
      <c r="Q193" s="32"/>
      <c r="R193" s="32"/>
      <c r="S193" s="32"/>
      <c r="T193" s="32"/>
      <c r="U193" s="32"/>
      <c r="V193" s="32"/>
      <c r="W193" s="47" t="s">
        <v>63</v>
      </c>
      <c r="X193" s="32" cm="1">
        <f t="array" ref="X193">DeltaPutAritMC(C124, C125, C126, C127, 1, C128)</f>
        <v>-0.3778928088326694</v>
      </c>
      <c r="Y193" s="32"/>
      <c r="Z193" s="32"/>
      <c r="AA193" s="32"/>
      <c r="AB193" s="32"/>
      <c r="AC193" s="32"/>
      <c r="AD193" s="32"/>
      <c r="AE193" s="32"/>
      <c r="AF193" s="32"/>
      <c r="AG193" s="32"/>
      <c r="AH193" s="32"/>
      <c r="AI193" s="32"/>
      <c r="AJ193" s="32"/>
      <c r="AK193" s="32"/>
      <c r="AL193" s="32"/>
      <c r="AM193" s="32"/>
      <c r="AN193" s="32"/>
      <c r="AO193" s="32"/>
      <c r="AP193" s="32"/>
      <c r="AQ193" s="32"/>
      <c r="AR193" s="32"/>
      <c r="AS193" s="32"/>
      <c r="AT193" s="32"/>
      <c r="AU193" s="32"/>
      <c r="AV193" s="32"/>
      <c r="AW193" s="32"/>
      <c r="AX193" s="32"/>
      <c r="AY193" s="32"/>
      <c r="AZ193" s="32"/>
      <c r="BA193" s="32"/>
      <c r="BB193" s="32"/>
      <c r="BC193" s="32"/>
      <c r="BD193" s="32"/>
      <c r="BE193" s="32"/>
      <c r="BF193" s="32"/>
      <c r="BG193" s="32"/>
      <c r="BH193" s="32"/>
      <c r="BI193" s="32"/>
      <c r="BJ193" s="32"/>
      <c r="BK193" s="32"/>
      <c r="BL193" s="32"/>
      <c r="BM193" s="32"/>
      <c r="BN193" s="32"/>
      <c r="BO193" s="32"/>
      <c r="BP193" s="32"/>
      <c r="BQ193" s="32"/>
      <c r="BR193" s="32"/>
      <c r="BS193" s="32"/>
      <c r="BT193" s="32"/>
      <c r="BU193" s="32"/>
      <c r="BV193" s="32"/>
      <c r="BW193" s="32"/>
      <c r="BX193" s="32"/>
      <c r="BY193" s="32"/>
      <c r="BZ193" s="32"/>
      <c r="CA193" s="32"/>
      <c r="CB193" s="32"/>
      <c r="CC193" s="32"/>
      <c r="CD193" s="32"/>
      <c r="CE193" s="32"/>
      <c r="CF193" s="32"/>
      <c r="CG193" s="32"/>
      <c r="CH193" s="32"/>
      <c r="CI193" s="32"/>
      <c r="CJ193" s="32"/>
      <c r="CK193" s="32"/>
      <c r="CL193" s="32"/>
      <c r="CM193" s="32"/>
      <c r="CN193" s="32"/>
      <c r="CO193" s="32"/>
      <c r="CP193" s="32"/>
      <c r="CQ193" s="32"/>
      <c r="CR193" s="32"/>
      <c r="CS193" s="32"/>
      <c r="CT193" s="32"/>
      <c r="CU193" s="32"/>
      <c r="CV193" s="32"/>
      <c r="CW193" s="32"/>
      <c r="CX193" s="32"/>
      <c r="CY193" s="32"/>
      <c r="CZ193" s="32"/>
      <c r="DA193" s="32"/>
      <c r="DB193" s="32"/>
      <c r="DC193" s="32"/>
      <c r="DD193" s="32"/>
      <c r="DE193" s="32"/>
      <c r="DF193" s="32"/>
      <c r="DG193" s="32"/>
    </row>
    <row r="194" spans="3:111" ht="20.350000000000001" customHeight="1" x14ac:dyDescent="0.45">
      <c r="C194" s="47" t="s">
        <v>53</v>
      </c>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2"/>
      <c r="AB194" s="32"/>
      <c r="AC194" s="32"/>
      <c r="AD194" s="32"/>
      <c r="AE194" s="32"/>
      <c r="AF194" s="32"/>
      <c r="AG194" s="32"/>
      <c r="AH194" s="32"/>
      <c r="AI194" s="32"/>
      <c r="AJ194" s="32"/>
      <c r="AK194" s="32"/>
      <c r="AL194" s="32"/>
      <c r="AM194" s="32"/>
      <c r="AN194" s="32"/>
      <c r="AO194" s="32"/>
      <c r="AP194" s="32"/>
      <c r="AQ194" s="32"/>
      <c r="AR194" s="32"/>
      <c r="AS194" s="32"/>
      <c r="AT194" s="32"/>
      <c r="AU194" s="32"/>
      <c r="AV194" s="32"/>
      <c r="AW194" s="32"/>
      <c r="AX194" s="32"/>
      <c r="AY194" s="32"/>
      <c r="AZ194" s="32"/>
      <c r="BA194" s="32"/>
      <c r="BB194" s="32"/>
      <c r="BC194" s="32"/>
      <c r="BD194" s="32"/>
      <c r="BE194" s="32"/>
      <c r="BF194" s="32"/>
      <c r="BG194" s="32"/>
      <c r="BH194" s="32"/>
      <c r="BI194" s="32"/>
      <c r="BJ194" s="32"/>
      <c r="BK194" s="32"/>
      <c r="BL194" s="32"/>
      <c r="BM194" s="32"/>
      <c r="BN194" s="32"/>
      <c r="BO194" s="32"/>
      <c r="BP194" s="32"/>
      <c r="BQ194" s="32"/>
      <c r="BR194" s="32"/>
      <c r="BS194" s="32"/>
      <c r="BT194" s="32"/>
      <c r="BU194" s="32"/>
      <c r="BV194" s="32"/>
      <c r="BW194" s="32"/>
      <c r="BX194" s="32"/>
      <c r="BY194" s="32"/>
      <c r="BZ194" s="32"/>
      <c r="CA194" s="32"/>
      <c r="CB194" s="32"/>
      <c r="CC194" s="32"/>
      <c r="CD194" s="32"/>
      <c r="CE194" s="32"/>
      <c r="CF194" s="32"/>
      <c r="CG194" s="32"/>
      <c r="CH194" s="32"/>
      <c r="CI194" s="32"/>
      <c r="CJ194" s="32"/>
      <c r="CK194" s="32"/>
      <c r="CL194" s="32"/>
      <c r="CM194" s="32"/>
      <c r="CN194" s="32"/>
      <c r="CO194" s="32"/>
      <c r="CP194" s="32"/>
      <c r="CQ194" s="32"/>
      <c r="CR194" s="32"/>
      <c r="CS194" s="32"/>
      <c r="CT194" s="32"/>
      <c r="CU194" s="32"/>
      <c r="CV194" s="32"/>
      <c r="CW194" s="32"/>
      <c r="CX194" s="32"/>
      <c r="CY194" s="32"/>
      <c r="CZ194" s="32"/>
      <c r="DA194" s="32"/>
      <c r="DB194" s="32"/>
      <c r="DC194" s="32"/>
      <c r="DD194" s="32"/>
      <c r="DE194" s="32"/>
      <c r="DF194" s="32"/>
      <c r="DG194" s="32"/>
    </row>
    <row r="195" spans="3:111" ht="20.350000000000001" customHeight="1" x14ac:dyDescent="0.45">
      <c r="C195" s="47" t="s">
        <v>38</v>
      </c>
      <c r="D195" s="32" cm="1">
        <f t="array" ref="D195">PricePutArit($C124,$C125,$C126,$C127,D175,$C128)</f>
        <v>3.3432995658227513</v>
      </c>
      <c r="E195" s="32" cm="1">
        <f t="array" ref="E195">PricePutArit($C124,$C125,$C126,$C127,E175,$C128)</f>
        <v>3.2146021792907744</v>
      </c>
      <c r="F195" s="32" cm="1">
        <f t="array" ref="F195">PricePutArit($C124,$C125,$C126,$C127,F175,$C128)</f>
        <v>3.2704514532012778</v>
      </c>
      <c r="G195" s="32" cm="1">
        <f t="array" ref="G195">PricePutArit($C124,$C125,$C126,$C127,G175,$C128)</f>
        <v>3.2537347578485001</v>
      </c>
      <c r="H195" s="32" cm="1">
        <f t="array" ref="H195">PricePutArit($C124,$C125,$C126,$C127,H175,$C128)</f>
        <v>3.274211161590574</v>
      </c>
      <c r="I195" s="32" cm="1">
        <f t="array" ref="I195">PricePutArit($C124,$C125,$C126,$C127,I175,$C128)</f>
        <v>3.2773743925276313</v>
      </c>
      <c r="J195" s="32" cm="1">
        <f t="array" ref="J195">PricePutArit($C124,$C125,$C126,$C127,J175,$C128)</f>
        <v>3.2849619691227692</v>
      </c>
      <c r="K195" s="32" cm="1">
        <f t="array" ref="K195">PricePutArit($C124,$C125,$C126,$C127,K175,$C128)</f>
        <v>3.2930142920100272</v>
      </c>
      <c r="L195" s="32" cm="1">
        <f t="array" ref="L195">PricePutArit($C124,$C125,$C126,$C127,L175,$C128)</f>
        <v>3.2956484319048212</v>
      </c>
      <c r="M195" s="32" cm="1">
        <f t="array" ref="M195">PricePutArit($C124,$C125,$C126,$C127,M175,$C128)</f>
        <v>3.3015028865809644</v>
      </c>
      <c r="N195" s="32" cm="1">
        <f t="array" ref="N195">PricePutArit($C124,$C125,$C126,$C127,N175,$C128)</f>
        <v>3.3035638399532967</v>
      </c>
      <c r="O195" s="32" cm="1">
        <f t="array" ref="O195">PricePutArit($C124,$C125,$C126,$C127,O175,$C128)</f>
        <v>3.3074995568262104</v>
      </c>
      <c r="P195" s="32" cm="1">
        <f t="array" ref="P195">PricePutArit($C124,$C125,$C126,$C127,P175,$C128)</f>
        <v>3.3091691895133239</v>
      </c>
      <c r="Q195" s="32" cm="1">
        <f t="array" ref="Q195">PricePutArit($C124,$C125,$C126,$C127,Q175,$C128)</f>
        <v>3.3118625294910951</v>
      </c>
      <c r="R195" s="32" cm="1">
        <f t="array" ref="R195">PricePutArit($C124,$C125,$C126,$C127,R175,$C128)</f>
        <v>3.3133295009782486</v>
      </c>
      <c r="S195" s="32"/>
      <c r="T195" s="32"/>
      <c r="U195" s="32"/>
      <c r="V195" s="32"/>
      <c r="W195" s="32"/>
      <c r="X195" s="32"/>
      <c r="Y195" s="32"/>
      <c r="Z195" s="32"/>
      <c r="AA195" s="32"/>
      <c r="AB195" s="32"/>
      <c r="AC195" s="32"/>
      <c r="AD195" s="32"/>
      <c r="AE195" s="32"/>
      <c r="AF195" s="32"/>
      <c r="AG195" s="32"/>
      <c r="AH195" s="32"/>
      <c r="AI195" s="32"/>
      <c r="AJ195" s="32"/>
      <c r="AK195" s="32"/>
      <c r="AL195" s="32"/>
      <c r="AM195" s="32"/>
      <c r="AN195" s="32"/>
      <c r="AO195" s="32"/>
      <c r="AP195" s="32"/>
      <c r="AQ195" s="32"/>
      <c r="AR195" s="32"/>
      <c r="AS195" s="32"/>
      <c r="AT195" s="32"/>
      <c r="AU195" s="32"/>
      <c r="AV195" s="32"/>
      <c r="AW195" s="32"/>
      <c r="AX195" s="32"/>
      <c r="AY195" s="32"/>
      <c r="AZ195" s="32"/>
      <c r="BA195" s="32"/>
      <c r="BB195" s="32"/>
      <c r="BC195" s="32"/>
      <c r="BD195" s="32"/>
      <c r="BE195" s="32"/>
      <c r="BF195" s="32"/>
      <c r="BG195" s="32"/>
      <c r="BH195" s="32"/>
      <c r="BI195" s="32"/>
      <c r="BJ195" s="32"/>
      <c r="BK195" s="32"/>
      <c r="BL195" s="32"/>
      <c r="BM195" s="32"/>
      <c r="BN195" s="32"/>
      <c r="BO195" s="32"/>
      <c r="BP195" s="32"/>
      <c r="BQ195" s="32"/>
      <c r="BR195" s="32"/>
      <c r="BS195" s="32"/>
      <c r="BT195" s="32"/>
      <c r="BU195" s="32"/>
      <c r="BV195" s="32"/>
      <c r="BW195" s="32"/>
      <c r="BX195" s="32"/>
      <c r="BY195" s="32"/>
      <c r="BZ195" s="32"/>
      <c r="CA195" s="32"/>
      <c r="CB195" s="32"/>
      <c r="CC195" s="32"/>
      <c r="CD195" s="32"/>
      <c r="CE195" s="32"/>
      <c r="CF195" s="32"/>
      <c r="CG195" s="32"/>
      <c r="CH195" s="32"/>
      <c r="CI195" s="32"/>
      <c r="CJ195" s="32"/>
      <c r="CK195" s="32"/>
      <c r="CL195" s="32"/>
      <c r="CM195" s="32"/>
      <c r="CN195" s="32"/>
      <c r="CO195" s="32"/>
      <c r="CP195" s="32"/>
      <c r="CQ195" s="32"/>
      <c r="CR195" s="32"/>
      <c r="CS195" s="32"/>
      <c r="CT195" s="32"/>
      <c r="CU195" s="32"/>
      <c r="CV195" s="32"/>
      <c r="CW195" s="32"/>
      <c r="CX195" s="32"/>
      <c r="CY195" s="32"/>
      <c r="CZ195" s="32"/>
      <c r="DA195" s="32"/>
      <c r="DB195" s="32"/>
      <c r="DC195" s="32"/>
      <c r="DD195" s="32"/>
      <c r="DE195" s="32"/>
      <c r="DF195" s="32"/>
      <c r="DG195" s="32"/>
    </row>
    <row r="196" spans="3:111" ht="20.350000000000001" customHeight="1" x14ac:dyDescent="0.45">
      <c r="C196" s="47" t="s">
        <v>49</v>
      </c>
      <c r="D196" s="32" cm="1">
        <f t="array" ref="D196">DeltaPutArit($C124,$C125,$C126,$C127,D175,$C128)</f>
        <v>-0.24231715393945899</v>
      </c>
      <c r="E196" s="32" cm="1">
        <f t="array" ref="E196">DeltaPutArit($C124,$C125,$C126,$C127,E175,$C128)</f>
        <v>-0.2830325936165406</v>
      </c>
      <c r="F196" s="32" cm="1">
        <f t="array" ref="F196">DeltaPutArit($C124,$C125,$C126,$C127,F175,$C128)</f>
        <v>-0.30687012704608785</v>
      </c>
      <c r="G196" s="32" cm="1">
        <f t="array" ref="G196">DeltaPutArit($C124,$C125,$C126,$C127,G175,$C128)</f>
        <v>-0.31530189670503828</v>
      </c>
      <c r="H196" s="32" cm="1">
        <f t="array" ref="H196">DeltaPutArit($C124,$C125,$C126,$C127,H175,$C128)</f>
        <v>-0.32660186865008412</v>
      </c>
      <c r="I196" s="32" cm="1">
        <f t="array" ref="I196">DeltaPutArit($C124,$C125,$C126,$C127,I175,$C128)</f>
        <v>-0.33544496902134618</v>
      </c>
      <c r="J196" s="32" cm="1">
        <f t="array" ref="J196">DeltaPutArit($C124,$C125,$C126,$C127,J175,$C128)</f>
        <v>-0.34041804685257754</v>
      </c>
      <c r="K196" s="32" cm="1">
        <f t="array" ref="K196">DeltaPutArit($C124,$C125,$C126,$C127,K175,$C128)</f>
        <v>-0.34488092974174689</v>
      </c>
      <c r="L196" s="32" cm="1">
        <f t="array" ref="L196">DeltaPutArit($C124,$C125,$C126,$C127,L175,$C128)</f>
        <v>-0.34882917987834239</v>
      </c>
      <c r="M196" s="32" cm="1">
        <f t="array" ref="M196">DeltaPutArit($C124,$C125,$C126,$C127,M175,$C128)</f>
        <v>-0.35193906946279702</v>
      </c>
      <c r="N196" s="32" cm="1">
        <f t="array" ref="N196">DeltaPutArit($C124,$C125,$C126,$C127,N175,$C128)</f>
        <v>-0.35458099914860891</v>
      </c>
      <c r="O196" s="32" cm="1">
        <f t="array" ref="O196">DeltaPutArit($C124,$C125,$C126,$C127,O175,$C128)</f>
        <v>-0.356895681112052</v>
      </c>
      <c r="P196" s="32" cm="1">
        <f t="array" ref="P196">DeltaPutArit($C124,$C125,$C126,$C127,P175,$C128)</f>
        <v>-0.35885407842458494</v>
      </c>
      <c r="Q196" s="32" cm="1">
        <f t="array" ref="Q196">DeltaPutArit($C124,$C125,$C126,$C127,Q175,$C128)</f>
        <v>-0.36058809762446009</v>
      </c>
      <c r="R196" s="32" cm="1">
        <f t="array" ref="R196">DeltaPutArit($C124,$C125,$C126,$C127,R175,$C128)</f>
        <v>-0.36210757915648761</v>
      </c>
      <c r="S196" s="32"/>
      <c r="T196" s="32"/>
      <c r="U196" s="32"/>
      <c r="V196" s="32"/>
      <c r="W196" s="32"/>
      <c r="X196" s="32"/>
      <c r="Y196" s="32"/>
      <c r="Z196" s="32"/>
      <c r="AA196" s="32"/>
      <c r="AB196" s="32"/>
      <c r="AC196" s="32"/>
      <c r="AD196" s="32"/>
      <c r="AE196" s="32"/>
      <c r="AF196" s="32"/>
      <c r="AG196" s="32"/>
      <c r="AH196" s="32"/>
      <c r="AI196" s="32"/>
      <c r="AJ196" s="32"/>
      <c r="AK196" s="32"/>
      <c r="AL196" s="32"/>
      <c r="AM196" s="32"/>
      <c r="AN196" s="32"/>
      <c r="AO196" s="32"/>
      <c r="AP196" s="32"/>
      <c r="AQ196" s="32"/>
      <c r="AR196" s="32"/>
      <c r="AS196" s="32"/>
      <c r="AT196" s="32"/>
      <c r="AU196" s="32"/>
      <c r="AV196" s="32"/>
      <c r="AW196" s="32"/>
      <c r="AX196" s="32"/>
      <c r="AY196" s="32"/>
      <c r="AZ196" s="32"/>
      <c r="BA196" s="32"/>
      <c r="BB196" s="32"/>
      <c r="BC196" s="32"/>
      <c r="BD196" s="32"/>
      <c r="BE196" s="32"/>
      <c r="BF196" s="32"/>
      <c r="BG196" s="32"/>
      <c r="BH196" s="32"/>
      <c r="BI196" s="32"/>
      <c r="BJ196" s="32"/>
      <c r="BK196" s="32"/>
      <c r="BL196" s="32"/>
      <c r="BM196" s="32"/>
      <c r="BN196" s="32"/>
      <c r="BO196" s="32"/>
      <c r="BP196" s="32"/>
      <c r="BQ196" s="32"/>
      <c r="BR196" s="32"/>
      <c r="BS196" s="32"/>
      <c r="BT196" s="32"/>
      <c r="BU196" s="32"/>
      <c r="BV196" s="32"/>
      <c r="BW196" s="32"/>
      <c r="BX196" s="32"/>
      <c r="BY196" s="32"/>
      <c r="BZ196" s="32"/>
      <c r="CA196" s="32"/>
      <c r="CB196" s="32"/>
      <c r="CC196" s="32"/>
      <c r="CD196" s="32"/>
      <c r="CE196" s="32"/>
      <c r="CF196" s="32"/>
      <c r="CG196" s="32"/>
      <c r="CH196" s="32"/>
      <c r="CI196" s="32"/>
      <c r="CJ196" s="32"/>
      <c r="CK196" s="32"/>
      <c r="CL196" s="32"/>
      <c r="CM196" s="32"/>
      <c r="CN196" s="32"/>
      <c r="CO196" s="32"/>
      <c r="CP196" s="32"/>
      <c r="CQ196" s="32"/>
      <c r="CR196" s="32"/>
      <c r="CS196" s="32"/>
      <c r="CT196" s="32"/>
      <c r="CU196" s="32"/>
      <c r="CV196" s="32"/>
      <c r="CW196" s="32"/>
      <c r="CX196" s="32"/>
      <c r="CY196" s="32"/>
      <c r="CZ196" s="32"/>
      <c r="DA196" s="32"/>
      <c r="DB196" s="32"/>
      <c r="DC196" s="32"/>
      <c r="DD196" s="32"/>
      <c r="DE196" s="32"/>
      <c r="DF196" s="32"/>
      <c r="DG196" s="32"/>
    </row>
    <row r="197" spans="3:111" ht="20.350000000000001" customHeight="1" x14ac:dyDescent="0.45">
      <c r="C197" s="47" t="s">
        <v>50</v>
      </c>
      <c r="D197" s="32">
        <f>LOG(ABS(D195-$X192))</f>
        <v>-0.88612947495820149</v>
      </c>
      <c r="E197" s="32">
        <f t="shared" ref="E197:Q197" si="21">LOG(ABS(E195-$X192))</f>
        <v>-2.8925134358790792</v>
      </c>
      <c r="F197" s="32">
        <f t="shared" si="21"/>
        <v>-1.2431350964890999</v>
      </c>
      <c r="G197" s="32">
        <f t="shared" si="21"/>
        <v>-1.3934746747940538</v>
      </c>
      <c r="H197" s="32">
        <f t="shared" si="21"/>
        <v>-1.215455468350412</v>
      </c>
      <c r="I197" s="32">
        <f t="shared" si="21"/>
        <v>-1.1934603301012385</v>
      </c>
      <c r="J197" s="32">
        <f t="shared" si="21"/>
        <v>-1.144840753395659</v>
      </c>
      <c r="K197" s="32">
        <f t="shared" si="21"/>
        <v>-1.0985802154304838</v>
      </c>
      <c r="L197" s="32">
        <f t="shared" si="21"/>
        <v>-1.0844573508586539</v>
      </c>
      <c r="M197" s="32">
        <f t="shared" si="21"/>
        <v>-1.05462240584756</v>
      </c>
      <c r="N197" s="32">
        <f t="shared" si="21"/>
        <v>-1.0445889967438569</v>
      </c>
      <c r="O197" s="32">
        <f t="shared" si="21"/>
        <v>-1.0260496466149687</v>
      </c>
      <c r="P197" s="32">
        <f t="shared" si="21"/>
        <v>-1.0184177346468339</v>
      </c>
      <c r="Q197" s="32">
        <f t="shared" si="21"/>
        <v>-1.0063823046472351</v>
      </c>
      <c r="R197" s="32">
        <f t="shared" ref="R197" si="22">LOG(ABS(R195-$X192))</f>
        <v>-0.99996466221613667</v>
      </c>
      <c r="S197" s="32"/>
      <c r="T197" s="32"/>
      <c r="U197" s="32"/>
      <c r="V197" s="32"/>
      <c r="W197" s="32"/>
      <c r="X197" s="32"/>
      <c r="Y197" s="32"/>
      <c r="Z197" s="32"/>
      <c r="AA197" s="32"/>
      <c r="AB197" s="32"/>
      <c r="AC197" s="32"/>
      <c r="AD197" s="32"/>
      <c r="AE197" s="32"/>
      <c r="AF197" s="32"/>
      <c r="AG197" s="32"/>
      <c r="AH197" s="32"/>
      <c r="AI197" s="32"/>
      <c r="AJ197" s="32"/>
      <c r="AK197" s="32"/>
      <c r="AL197" s="32"/>
      <c r="AM197" s="32"/>
      <c r="AN197" s="32"/>
      <c r="AO197" s="32"/>
      <c r="AP197" s="32"/>
      <c r="AQ197" s="32"/>
      <c r="AR197" s="32"/>
      <c r="AS197" s="32"/>
      <c r="AT197" s="32"/>
      <c r="AU197" s="32"/>
      <c r="AV197" s="32"/>
      <c r="AW197" s="32"/>
      <c r="AX197" s="32"/>
      <c r="AY197" s="32"/>
      <c r="AZ197" s="32"/>
      <c r="BA197" s="32"/>
      <c r="BB197" s="32"/>
      <c r="BC197" s="32"/>
      <c r="BD197" s="32"/>
      <c r="BE197" s="32"/>
      <c r="BF197" s="32"/>
      <c r="BG197" s="32"/>
      <c r="BH197" s="32"/>
      <c r="BI197" s="32"/>
      <c r="BJ197" s="32"/>
      <c r="BK197" s="32"/>
      <c r="BL197" s="32"/>
      <c r="BM197" s="32"/>
      <c r="BN197" s="32"/>
      <c r="BO197" s="32"/>
      <c r="BP197" s="32"/>
      <c r="BQ197" s="32"/>
      <c r="BR197" s="32"/>
      <c r="BS197" s="32"/>
      <c r="BT197" s="32"/>
      <c r="BU197" s="32"/>
      <c r="BV197" s="32"/>
      <c r="BW197" s="32"/>
      <c r="BX197" s="32"/>
      <c r="BY197" s="32"/>
      <c r="BZ197" s="32"/>
      <c r="CA197" s="32"/>
      <c r="CB197" s="32"/>
      <c r="CC197" s="32"/>
      <c r="CD197" s="32"/>
      <c r="CE197" s="32"/>
      <c r="CF197" s="32"/>
      <c r="CG197" s="32"/>
      <c r="CH197" s="32"/>
      <c r="CI197" s="32"/>
      <c r="CJ197" s="32"/>
      <c r="CK197" s="32"/>
      <c r="CL197" s="32"/>
      <c r="CM197" s="32"/>
      <c r="CN197" s="32"/>
      <c r="CO197" s="32"/>
      <c r="CP197" s="32"/>
      <c r="CQ197" s="32"/>
      <c r="CR197" s="32"/>
      <c r="CS197" s="32"/>
      <c r="CT197" s="32"/>
      <c r="CU197" s="32"/>
      <c r="CV197" s="32"/>
      <c r="CW197" s="32"/>
      <c r="CX197" s="32"/>
      <c r="CY197" s="32"/>
      <c r="CZ197" s="32"/>
      <c r="DA197" s="32"/>
      <c r="DB197" s="32"/>
      <c r="DC197" s="32"/>
      <c r="DD197" s="32"/>
      <c r="DE197" s="32"/>
      <c r="DF197" s="32"/>
      <c r="DG197" s="32"/>
    </row>
    <row r="198" spans="3:111" ht="20.350000000000001" customHeight="1" x14ac:dyDescent="0.45">
      <c r="C198" s="47" t="s">
        <v>51</v>
      </c>
      <c r="D198" s="32">
        <f>LOG(ABS(D196-$X193))</f>
        <v>-0.8678182890439321</v>
      </c>
      <c r="E198" s="32">
        <f t="shared" ref="E198:Q198" si="23">LOG(ABS(E196-$X193))</f>
        <v>-1.0229158943681962</v>
      </c>
      <c r="F198" s="32">
        <f t="shared" si="23"/>
        <v>-1.1486029329478822</v>
      </c>
      <c r="G198" s="32">
        <f t="shared" si="23"/>
        <v>-1.2034887194946253</v>
      </c>
      <c r="H198" s="32">
        <f t="shared" si="23"/>
        <v>-1.2899593400770335</v>
      </c>
      <c r="I198" s="32">
        <f t="shared" si="23"/>
        <v>-1.3721444062891315</v>
      </c>
      <c r="J198" s="32">
        <f t="shared" si="23"/>
        <v>-1.4262611168802424</v>
      </c>
      <c r="K198" s="32">
        <f t="shared" si="23"/>
        <v>-1.4813297542037109</v>
      </c>
      <c r="L198" s="32">
        <f t="shared" si="23"/>
        <v>-1.5366501596029847</v>
      </c>
      <c r="M198" s="32">
        <f t="shared" si="23"/>
        <v>-1.5858000609097398</v>
      </c>
      <c r="N198" s="32">
        <f t="shared" si="23"/>
        <v>-1.6324240111085624</v>
      </c>
      <c r="O198" s="32">
        <f t="shared" si="23"/>
        <v>-1.6778401100471214</v>
      </c>
      <c r="P198" s="32">
        <f t="shared" si="23"/>
        <v>-1.7203620157806923</v>
      </c>
      <c r="Q198" s="32">
        <f t="shared" si="23"/>
        <v>-1.7618356440859853</v>
      </c>
      <c r="R198" s="32">
        <f t="shared" ref="R198" si="24">LOG(ABS(R196-$X193))</f>
        <v>-1.8017490947110917</v>
      </c>
      <c r="S198" s="32"/>
      <c r="T198" s="32"/>
      <c r="U198" s="32"/>
      <c r="V198" s="32"/>
      <c r="W198" s="32"/>
      <c r="X198" s="32"/>
      <c r="Y198" s="32"/>
      <c r="Z198" s="32"/>
      <c r="AA198" s="32"/>
      <c r="AB198" s="32"/>
      <c r="AC198" s="32"/>
      <c r="AD198" s="32"/>
      <c r="AE198" s="32"/>
      <c r="AF198" s="32"/>
      <c r="AG198" s="32"/>
      <c r="AH198" s="32"/>
      <c r="AI198" s="32"/>
      <c r="AJ198" s="32"/>
      <c r="AK198" s="32"/>
      <c r="AL198" s="32"/>
      <c r="AM198" s="32"/>
      <c r="AN198" s="32"/>
      <c r="AO198" s="32"/>
      <c r="AP198" s="32"/>
      <c r="AQ198" s="32"/>
      <c r="AR198" s="32"/>
      <c r="AS198" s="32"/>
      <c r="AT198" s="32"/>
      <c r="AU198" s="32"/>
      <c r="AV198" s="32"/>
      <c r="AW198" s="32"/>
      <c r="AX198" s="32"/>
      <c r="AY198" s="32"/>
      <c r="AZ198" s="32"/>
      <c r="BA198" s="32"/>
      <c r="BB198" s="32"/>
      <c r="BC198" s="32"/>
      <c r="BD198" s="32"/>
      <c r="BE198" s="32"/>
      <c r="BF198" s="32"/>
      <c r="BG198" s="32"/>
      <c r="BH198" s="32"/>
      <c r="BI198" s="32"/>
      <c r="BJ198" s="32"/>
      <c r="BK198" s="32"/>
      <c r="BL198" s="32"/>
      <c r="BM198" s="32"/>
      <c r="BN198" s="32"/>
      <c r="BO198" s="32"/>
      <c r="BP198" s="32"/>
      <c r="BQ198" s="32"/>
      <c r="BR198" s="32"/>
      <c r="BS198" s="32"/>
      <c r="BT198" s="32"/>
      <c r="BU198" s="32"/>
      <c r="BV198" s="32"/>
      <c r="BW198" s="32"/>
      <c r="BX198" s="32"/>
      <c r="BY198" s="32"/>
      <c r="BZ198" s="32"/>
      <c r="CA198" s="32"/>
      <c r="CB198" s="32"/>
      <c r="CC198" s="32"/>
      <c r="CD198" s="32"/>
      <c r="CE198" s="32"/>
      <c r="CF198" s="32"/>
      <c r="CG198" s="32"/>
      <c r="CH198" s="32"/>
      <c r="CI198" s="32"/>
      <c r="CJ198" s="32"/>
      <c r="CK198" s="32"/>
      <c r="CL198" s="32"/>
      <c r="CM198" s="32"/>
      <c r="CN198" s="32"/>
      <c r="CO198" s="32"/>
      <c r="CP198" s="32"/>
      <c r="CQ198" s="32"/>
      <c r="CR198" s="32"/>
      <c r="CS198" s="32"/>
      <c r="CT198" s="32"/>
      <c r="CU198" s="32"/>
      <c r="CV198" s="32"/>
      <c r="CW198" s="32"/>
      <c r="CX198" s="32"/>
      <c r="CY198" s="32"/>
      <c r="CZ198" s="32"/>
      <c r="DA198" s="32"/>
      <c r="DB198" s="32"/>
      <c r="DC198" s="32"/>
      <c r="DD198" s="32"/>
      <c r="DE198" s="32"/>
      <c r="DF198" s="32"/>
      <c r="DG198" s="32"/>
    </row>
    <row r="199" spans="3:111" ht="20.350000000000001" customHeight="1" x14ac:dyDescent="0.45">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2"/>
      <c r="AB199" s="32"/>
      <c r="AC199" s="32"/>
      <c r="AD199" s="32"/>
      <c r="AE199" s="32"/>
      <c r="AF199" s="32"/>
      <c r="AG199" s="32"/>
      <c r="AH199" s="32"/>
      <c r="AI199" s="32"/>
      <c r="AJ199" s="32"/>
      <c r="AK199" s="32"/>
      <c r="AL199" s="32"/>
      <c r="AM199" s="32"/>
      <c r="AN199" s="32"/>
      <c r="AO199" s="32"/>
      <c r="AP199" s="32"/>
      <c r="AQ199" s="32"/>
      <c r="AR199" s="32"/>
      <c r="AS199" s="32"/>
      <c r="AT199" s="32"/>
      <c r="AU199" s="32"/>
      <c r="AV199" s="32"/>
      <c r="AW199" s="32"/>
      <c r="AX199" s="32"/>
      <c r="AY199" s="32"/>
      <c r="AZ199" s="32"/>
      <c r="BA199" s="32"/>
      <c r="BB199" s="32"/>
      <c r="BC199" s="32"/>
      <c r="BD199" s="32"/>
      <c r="BE199" s="32"/>
      <c r="BF199" s="32"/>
      <c r="BG199" s="32"/>
      <c r="BH199" s="32"/>
      <c r="BI199" s="32"/>
      <c r="BJ199" s="32"/>
      <c r="BK199" s="32"/>
      <c r="BL199" s="32"/>
      <c r="BM199" s="32"/>
      <c r="BN199" s="32"/>
      <c r="BO199" s="32"/>
      <c r="BP199" s="32"/>
      <c r="BQ199" s="32"/>
      <c r="BR199" s="32"/>
      <c r="BS199" s="32"/>
      <c r="BT199" s="32"/>
      <c r="BU199" s="32"/>
      <c r="BV199" s="32"/>
      <c r="BW199" s="32"/>
      <c r="BX199" s="32"/>
      <c r="BY199" s="32"/>
      <c r="BZ199" s="32"/>
      <c r="CA199" s="32"/>
      <c r="CB199" s="32"/>
      <c r="CC199" s="32"/>
      <c r="CD199" s="32"/>
      <c r="CE199" s="32"/>
      <c r="CF199" s="32"/>
      <c r="CG199" s="32"/>
      <c r="CH199" s="32"/>
      <c r="CI199" s="32"/>
      <c r="CJ199" s="32"/>
      <c r="CK199" s="32"/>
      <c r="CL199" s="32"/>
      <c r="CM199" s="32"/>
      <c r="CN199" s="32"/>
      <c r="CO199" s="32"/>
      <c r="CP199" s="32"/>
      <c r="CQ199" s="32"/>
      <c r="CR199" s="32"/>
      <c r="CS199" s="32"/>
      <c r="CT199" s="32"/>
      <c r="CU199" s="32"/>
      <c r="CV199" s="32"/>
      <c r="CW199" s="32"/>
      <c r="CX199" s="32"/>
      <c r="CY199" s="32"/>
      <c r="CZ199" s="32"/>
      <c r="DA199" s="32"/>
      <c r="DB199" s="32"/>
      <c r="DC199" s="32"/>
      <c r="DD199" s="32"/>
      <c r="DE199" s="32"/>
      <c r="DF199" s="32"/>
      <c r="DG199" s="32"/>
    </row>
    <row r="200" spans="3:111" ht="20.350000000000001" customHeight="1" x14ac:dyDescent="0.45">
      <c r="C200" s="47" t="s">
        <v>54</v>
      </c>
      <c r="D200" s="32"/>
      <c r="E200" s="32"/>
      <c r="F200" s="32"/>
      <c r="G200" s="32"/>
      <c r="H200" s="32"/>
      <c r="I200" s="32"/>
      <c r="J200" s="32"/>
      <c r="K200" s="32"/>
      <c r="L200" s="32"/>
      <c r="M200" s="32"/>
      <c r="N200" s="32"/>
      <c r="O200" s="32"/>
      <c r="P200" s="32"/>
      <c r="Q200" s="32"/>
      <c r="R200" s="32"/>
      <c r="S200" s="32"/>
      <c r="T200" s="32"/>
      <c r="U200" s="32"/>
      <c r="V200" s="32"/>
      <c r="W200" s="47" t="s">
        <v>60</v>
      </c>
      <c r="X200" s="32" cm="1">
        <f t="array" ref="X200">PriceCallMaxMC(C124, C125, C126, C127, 1, C128)</f>
        <v>18.095915971432145</v>
      </c>
      <c r="Y200" s="32"/>
      <c r="Z200" s="32">
        <f>X200</f>
        <v>18.095915971432145</v>
      </c>
      <c r="AA200" s="32"/>
      <c r="AB200" s="32">
        <f>X202</f>
        <v>11.173559689440477</v>
      </c>
      <c r="AC200" s="32"/>
      <c r="AD200" s="32"/>
      <c r="AE200" s="32"/>
      <c r="AF200" s="32"/>
      <c r="AG200" s="32"/>
      <c r="AH200" s="32"/>
      <c r="AI200" s="32"/>
      <c r="AJ200" s="32"/>
      <c r="AK200" s="32"/>
      <c r="AL200" s="32"/>
      <c r="AM200" s="32"/>
      <c r="AN200" s="32"/>
      <c r="AO200" s="32"/>
      <c r="AP200" s="32"/>
      <c r="AQ200" s="32"/>
      <c r="AR200" s="32"/>
      <c r="AS200" s="32"/>
      <c r="AT200" s="32"/>
      <c r="AU200" s="32"/>
      <c r="AV200" s="32"/>
      <c r="AW200" s="32"/>
      <c r="AX200" s="32"/>
      <c r="AY200" s="32"/>
      <c r="AZ200" s="32"/>
      <c r="BA200" s="32"/>
      <c r="BB200" s="32"/>
      <c r="BC200" s="32"/>
      <c r="BD200" s="32"/>
      <c r="BE200" s="32"/>
      <c r="BF200" s="32"/>
      <c r="BG200" s="32"/>
      <c r="BH200" s="32"/>
      <c r="BI200" s="32"/>
      <c r="BJ200" s="32"/>
      <c r="BK200" s="32"/>
      <c r="BL200" s="32"/>
      <c r="BM200" s="32"/>
      <c r="BN200" s="32"/>
      <c r="BO200" s="32"/>
      <c r="BP200" s="32"/>
      <c r="BQ200" s="32"/>
      <c r="BR200" s="32"/>
      <c r="BS200" s="32"/>
      <c r="BT200" s="32"/>
      <c r="BU200" s="32"/>
      <c r="BV200" s="32"/>
      <c r="BW200" s="32"/>
      <c r="BX200" s="32"/>
      <c r="BY200" s="32"/>
      <c r="BZ200" s="32"/>
      <c r="CA200" s="32"/>
      <c r="CB200" s="32"/>
      <c r="CC200" s="32"/>
      <c r="CD200" s="32"/>
      <c r="CE200" s="32"/>
      <c r="CF200" s="32"/>
      <c r="CG200" s="32"/>
      <c r="CH200" s="32"/>
      <c r="CI200" s="32"/>
      <c r="CJ200" s="32"/>
      <c r="CK200" s="32"/>
      <c r="CL200" s="32"/>
      <c r="CM200" s="32"/>
      <c r="CN200" s="32"/>
      <c r="CO200" s="32"/>
      <c r="CP200" s="32"/>
      <c r="CQ200" s="32"/>
      <c r="CR200" s="32"/>
      <c r="CS200" s="32"/>
      <c r="CT200" s="32"/>
      <c r="CU200" s="32"/>
      <c r="CV200" s="32"/>
      <c r="CW200" s="32"/>
      <c r="CX200" s="32"/>
      <c r="CY200" s="32"/>
      <c r="CZ200" s="32"/>
      <c r="DA200" s="32"/>
      <c r="DB200" s="32"/>
      <c r="DC200" s="32"/>
      <c r="DD200" s="32"/>
      <c r="DE200" s="32"/>
      <c r="DF200" s="32"/>
      <c r="DG200" s="32"/>
    </row>
    <row r="201" spans="3:111" ht="20.350000000000001" customHeight="1" x14ac:dyDescent="0.45">
      <c r="C201" s="47" t="s">
        <v>38</v>
      </c>
      <c r="D201" s="32" cm="1">
        <f t="array" ref="D201">PriceCallMax($C124,$C125,$C126,$C127,D175,$C128)</f>
        <v>13.267939001161075</v>
      </c>
      <c r="E201" s="32" cm="1">
        <f t="array" ref="E201">PriceCallMax($C124,$C125,$C126,$C127,E175,$C128)</f>
        <v>14.220003360349059</v>
      </c>
      <c r="F201" s="32" cm="1">
        <f t="array" ref="F201">PriceCallMax($C124,$C125,$C126,$C127,F175,$C128)</f>
        <v>14.722153575878645</v>
      </c>
      <c r="G201" s="32" cm="1">
        <f t="array" ref="G201">PriceCallMax($C124,$C125,$C126,$C127,G175,$C128)</f>
        <v>15.141080156768847</v>
      </c>
      <c r="H201" s="32" cm="1">
        <f t="array" ref="H201">PriceCallMax($C124,$C125,$C126,$C127,H175,$C128)</f>
        <v>15.427836995222119</v>
      </c>
      <c r="I201" s="32" cm="1">
        <f t="array" ref="I201">PriceCallMax($C124,$C125,$C126,$C127,I175,$C128)</f>
        <v>15.675702001253246</v>
      </c>
      <c r="J201" s="32" cm="1">
        <f t="array" ref="J201">PriceCallMax($C124,$C125,$C126,$C127,J175,$C128)</f>
        <v>15.868212252364856</v>
      </c>
      <c r="K201" s="32" cm="1">
        <f t="array" ref="K201">PriceCallMax($C124,$C125,$C126,$C127,K175,$C128)</f>
        <v>16.036516224177262</v>
      </c>
      <c r="L201" s="32" cm="1">
        <f t="array" ref="L201">PriceCallMax($C124,$C125,$C126,$C127,L175,$C128)</f>
        <v>16.177609483709489</v>
      </c>
      <c r="M201" s="32" cm="1">
        <f t="array" ref="M201">PriceCallMax($C124,$C125,$C126,$C127,M175,$C128)</f>
        <v>16.301424857692027</v>
      </c>
      <c r="N201" s="32" cm="1">
        <f t="array" ref="N201">PriceCallMax($C124,$C125,$C126,$C127,N175,$C128)</f>
        <v>16.410744650543023</v>
      </c>
      <c r="O201" s="32" cm="1">
        <f t="array" ref="O201">PriceCallMax($C124,$C125,$C126,$C127,O175,$C128)</f>
        <v>16.506744473357021</v>
      </c>
      <c r="P201" s="32" cm="1">
        <f t="array" ref="P201">PriceCallMax($C124,$C125,$C126,$C127,P175,$C128)</f>
        <v>16.594770672938502</v>
      </c>
      <c r="Q201" s="32" cm="1">
        <f t="array" ref="Q201">PriceCallMax($C124,$C125,$C126,$C127,Q175,$C128)</f>
        <v>16.672019700298964</v>
      </c>
      <c r="R201" s="32" cm="1">
        <f t="array" ref="R201">PriceCallMax($C124,$C125,$C126,$C127,R175,$C128)</f>
        <v>16.74493406065243</v>
      </c>
      <c r="S201" s="32"/>
      <c r="T201" s="32"/>
      <c r="U201" s="32"/>
      <c r="V201" s="32"/>
      <c r="W201" s="47" t="s">
        <v>61</v>
      </c>
      <c r="X201" s="32" cm="1">
        <f t="array" ref="X201">DeltaCallMaxMC(C124, C125, C126, C127, 1, C128)</f>
        <v>1.1095913648992095</v>
      </c>
      <c r="Y201" s="32"/>
      <c r="Z201" s="32">
        <f>X200</f>
        <v>18.095915971432145</v>
      </c>
      <c r="AA201" s="32"/>
      <c r="AB201" s="32">
        <f>X202</f>
        <v>11.173559689440477</v>
      </c>
      <c r="AC201" s="32"/>
      <c r="AD201" s="32"/>
      <c r="AE201" s="32"/>
      <c r="AF201" s="32"/>
      <c r="AG201" s="32"/>
      <c r="AH201" s="32"/>
      <c r="AI201" s="32"/>
      <c r="AJ201" s="32"/>
      <c r="AK201" s="32"/>
      <c r="AL201" s="32"/>
      <c r="AM201" s="32"/>
      <c r="AN201" s="32"/>
      <c r="AO201" s="32"/>
      <c r="AP201" s="32"/>
      <c r="AQ201" s="32"/>
      <c r="AR201" s="32"/>
      <c r="AS201" s="32"/>
      <c r="AT201" s="32"/>
      <c r="AU201" s="32"/>
      <c r="AV201" s="32"/>
      <c r="AW201" s="32"/>
      <c r="AX201" s="32"/>
      <c r="AY201" s="32"/>
      <c r="AZ201" s="32"/>
      <c r="BA201" s="32"/>
      <c r="BB201" s="32"/>
      <c r="BC201" s="32"/>
      <c r="BD201" s="32"/>
      <c r="BE201" s="32"/>
      <c r="BF201" s="32"/>
      <c r="BG201" s="32"/>
      <c r="BH201" s="32"/>
      <c r="BI201" s="32"/>
      <c r="BJ201" s="32"/>
      <c r="BK201" s="32"/>
      <c r="BL201" s="32"/>
      <c r="BM201" s="32"/>
      <c r="BN201" s="32"/>
      <c r="BO201" s="32"/>
      <c r="BP201" s="32"/>
      <c r="BQ201" s="32"/>
      <c r="BR201" s="32"/>
      <c r="BS201" s="32"/>
      <c r="BT201" s="32"/>
      <c r="BU201" s="32"/>
      <c r="BV201" s="32"/>
      <c r="BW201" s="32"/>
      <c r="BX201" s="32"/>
      <c r="BY201" s="32"/>
      <c r="BZ201" s="32"/>
      <c r="CA201" s="32"/>
      <c r="CB201" s="32"/>
      <c r="CC201" s="32"/>
      <c r="CD201" s="32"/>
      <c r="CE201" s="32"/>
      <c r="CF201" s="32"/>
      <c r="CG201" s="32"/>
      <c r="CH201" s="32"/>
      <c r="CI201" s="32"/>
      <c r="CJ201" s="32"/>
      <c r="CK201" s="32"/>
      <c r="CL201" s="32"/>
      <c r="CM201" s="32"/>
      <c r="CN201" s="32"/>
      <c r="CO201" s="32"/>
      <c r="CP201" s="32"/>
      <c r="CQ201" s="32"/>
      <c r="CR201" s="32"/>
      <c r="CS201" s="32"/>
      <c r="CT201" s="32"/>
      <c r="CU201" s="32"/>
      <c r="CV201" s="32"/>
      <c r="CW201" s="32"/>
      <c r="CX201" s="32"/>
      <c r="CY201" s="32"/>
      <c r="CZ201" s="32"/>
      <c r="DA201" s="32"/>
      <c r="DB201" s="32"/>
      <c r="DC201" s="32"/>
      <c r="DD201" s="32"/>
      <c r="DE201" s="32"/>
      <c r="DF201" s="32"/>
      <c r="DG201" s="32"/>
    </row>
    <row r="202" spans="3:111" ht="20.350000000000001" customHeight="1" x14ac:dyDescent="0.45">
      <c r="C202" s="47" t="s">
        <v>49</v>
      </c>
      <c r="D202" s="32" cm="1">
        <f t="array" ref="D202">DeltaCallMax($C124,$C125,$C126,$C127,D175,$C128)</f>
        <v>0.85600473360274565</v>
      </c>
      <c r="E202" s="32" cm="1">
        <f t="array" ref="E202">DeltaCallMax($C124,$C125,$C126,$C127,E175,$C128)</f>
        <v>0.88466916311263655</v>
      </c>
      <c r="F202" s="32" cm="1">
        <f t="array" ref="F202">DeltaCallMax($C124,$C125,$C126,$C127,F175,$C128)</f>
        <v>0.93422411895205693</v>
      </c>
      <c r="G202" s="32" cm="1">
        <f t="array" ref="G202">DeltaCallMax($C124,$C125,$C126,$C127,G175,$C128)</f>
        <v>0.9491190647841129</v>
      </c>
      <c r="H202" s="32" cm="1">
        <f t="array" ref="H202">DeltaCallMax($C124,$C125,$C126,$C127,H175,$C128)</f>
        <v>0.97135363998834168</v>
      </c>
      <c r="I202" s="32" cm="1">
        <f t="array" ref="I202">DeltaCallMax($C124,$C125,$C126,$C127,I175,$C128)</f>
        <v>0.98134763493097132</v>
      </c>
      <c r="J202" s="32" cm="1">
        <f t="array" ref="J202">DeltaCallMax($C124,$C125,$C126,$C127,J175,$C128)</f>
        <v>0.99399418562577313</v>
      </c>
      <c r="K202" s="32" cm="1">
        <f t="array" ref="K202">DeltaCallMax($C124,$C125,$C126,$C127,K175,$C128)</f>
        <v>1.0014948884068067</v>
      </c>
      <c r="L202" s="32" cm="1">
        <f t="array" ref="L202">DeltaCallMax($C124,$C125,$C126,$C127,L175,$C128)</f>
        <v>1.0096035468693216</v>
      </c>
      <c r="M202" s="32" cm="1">
        <f t="array" ref="M202">DeltaCallMax($C124,$C125,$C126,$C127,M175,$C128)</f>
        <v>1.0155992569057857</v>
      </c>
      <c r="N202" s="32" cm="1">
        <f t="array" ref="N202">DeltaCallMax($C124,$C125,$C126,$C127,N175,$C128)</f>
        <v>1.0211872704776195</v>
      </c>
      <c r="O202" s="32" cm="1">
        <f t="array" ref="O202">DeltaCallMax($C124,$C125,$C126,$C127,O175,$C128)</f>
        <v>1.0261775599298195</v>
      </c>
      <c r="P202" s="32" cm="1">
        <f t="array" ref="P202">DeltaCallMax($C124,$C125,$C126,$C127,P175,$C128)</f>
        <v>1.0302168631085589</v>
      </c>
      <c r="Q202" s="32" cm="1">
        <f t="array" ref="Q202">DeltaCallMax($C124,$C125,$C126,$C127,Q175,$C128)</f>
        <v>1.0344886717525619</v>
      </c>
      <c r="R202" s="32" cm="1">
        <f t="array" ref="R202">DeltaCallMax($C124,$C125,$C126,$C127,R175,$C128)</f>
        <v>1.0375078111513156</v>
      </c>
      <c r="S202" s="32"/>
      <c r="T202" s="32"/>
      <c r="U202" s="32"/>
      <c r="V202" s="32"/>
      <c r="W202" s="47" t="s">
        <v>62</v>
      </c>
      <c r="X202" s="32" cm="1">
        <f t="array" ref="X202">PricePutMinMC(C124, C125, C126, C127, 1, C128)</f>
        <v>11.173559689440477</v>
      </c>
      <c r="Y202" s="32"/>
      <c r="Z202" s="32"/>
      <c r="AA202" s="32"/>
      <c r="AB202" s="32"/>
      <c r="AC202" s="32"/>
      <c r="AD202" s="32"/>
      <c r="AE202" s="32"/>
      <c r="AF202" s="32"/>
      <c r="AG202" s="32"/>
      <c r="AH202" s="32"/>
      <c r="AI202" s="32"/>
      <c r="AJ202" s="32"/>
      <c r="AK202" s="32"/>
      <c r="AL202" s="32"/>
      <c r="AM202" s="32"/>
      <c r="AN202" s="32"/>
      <c r="AO202" s="32"/>
      <c r="AP202" s="32"/>
      <c r="AQ202" s="32"/>
      <c r="AR202" s="32"/>
      <c r="AS202" s="32"/>
      <c r="AT202" s="32"/>
      <c r="AU202" s="32"/>
      <c r="AV202" s="32"/>
      <c r="AW202" s="32"/>
      <c r="AX202" s="32"/>
      <c r="AY202" s="32"/>
      <c r="AZ202" s="32"/>
      <c r="BA202" s="32"/>
      <c r="BB202" s="32"/>
      <c r="BC202" s="32"/>
      <c r="BD202" s="32"/>
      <c r="BE202" s="32"/>
      <c r="BF202" s="32"/>
      <c r="BG202" s="32"/>
      <c r="BH202" s="32"/>
      <c r="BI202" s="32"/>
      <c r="BJ202" s="32"/>
      <c r="BK202" s="32"/>
      <c r="BL202" s="32"/>
      <c r="BM202" s="32"/>
      <c r="BN202" s="32"/>
      <c r="BO202" s="32"/>
      <c r="BP202" s="32"/>
      <c r="BQ202" s="32"/>
      <c r="BR202" s="32"/>
      <c r="BS202" s="32"/>
      <c r="BT202" s="32"/>
      <c r="BU202" s="32"/>
      <c r="BV202" s="32"/>
      <c r="BW202" s="32"/>
      <c r="BX202" s="32"/>
      <c r="BY202" s="32"/>
      <c r="BZ202" s="32"/>
      <c r="CA202" s="32"/>
      <c r="CB202" s="32"/>
      <c r="CC202" s="32"/>
      <c r="CD202" s="32"/>
      <c r="CE202" s="32"/>
      <c r="CF202" s="32"/>
      <c r="CG202" s="32"/>
      <c r="CH202" s="32"/>
      <c r="CI202" s="32"/>
      <c r="CJ202" s="32"/>
      <c r="CK202" s="32"/>
      <c r="CL202" s="32"/>
      <c r="CM202" s="32"/>
      <c r="CN202" s="32"/>
      <c r="CO202" s="32"/>
      <c r="CP202" s="32"/>
      <c r="CQ202" s="32"/>
      <c r="CR202" s="32"/>
      <c r="CS202" s="32"/>
      <c r="CT202" s="32"/>
      <c r="CU202" s="32"/>
      <c r="CV202" s="32"/>
      <c r="CW202" s="32"/>
      <c r="CX202" s="32"/>
      <c r="CY202" s="32"/>
      <c r="CZ202" s="32"/>
      <c r="DA202" s="32"/>
      <c r="DB202" s="32"/>
      <c r="DC202" s="32"/>
      <c r="DD202" s="32"/>
      <c r="DE202" s="32"/>
      <c r="DF202" s="32"/>
      <c r="DG202" s="32"/>
    </row>
    <row r="203" spans="3:111" ht="20.350000000000001" customHeight="1" x14ac:dyDescent="0.45">
      <c r="C203" s="47" t="s">
        <v>50</v>
      </c>
      <c r="D203" s="32">
        <f>LOG(ABS(D201-$X200))</f>
        <v>0.68376518982049628</v>
      </c>
      <c r="E203" s="32">
        <f t="shared" ref="E203:Q203" si="25">LOG(ABS(E201-$X200))</f>
        <v>0.58837397659538315</v>
      </c>
      <c r="F203" s="32">
        <f t="shared" si="25"/>
        <v>0.52811449321054438</v>
      </c>
      <c r="G203" s="32">
        <f t="shared" si="25"/>
        <v>0.4705333543317492</v>
      </c>
      <c r="H203" s="32">
        <f t="shared" si="25"/>
        <v>0.42619868072598804</v>
      </c>
      <c r="I203" s="32">
        <f t="shared" si="25"/>
        <v>0.38385376348459987</v>
      </c>
      <c r="J203" s="32">
        <f t="shared" si="25"/>
        <v>0.34785742989017854</v>
      </c>
      <c r="K203" s="32">
        <f t="shared" si="25"/>
        <v>0.31374065510586696</v>
      </c>
      <c r="L203" s="32">
        <f t="shared" si="25"/>
        <v>0.28291799558385811</v>
      </c>
      <c r="M203" s="32">
        <f t="shared" si="25"/>
        <v>0.25394131206285758</v>
      </c>
      <c r="N203" s="32">
        <f t="shared" si="25"/>
        <v>0.22664405947119756</v>
      </c>
      <c r="O203" s="32">
        <f t="shared" si="25"/>
        <v>0.20117076734500494</v>
      </c>
      <c r="P203" s="32">
        <f t="shared" si="25"/>
        <v>0.17642273040451401</v>
      </c>
      <c r="Q203" s="32">
        <f t="shared" si="25"/>
        <v>0.15347835270300908</v>
      </c>
      <c r="R203" s="32">
        <f t="shared" ref="R203" si="26">LOG(ABS(R201-$X200))</f>
        <v>0.13064953399527546</v>
      </c>
      <c r="S203" s="32"/>
      <c r="T203" s="32"/>
      <c r="U203" s="32"/>
      <c r="V203" s="32"/>
      <c r="W203" s="47" t="s">
        <v>63</v>
      </c>
      <c r="X203" s="32" cm="1">
        <f t="array" ref="X203">DeltaPutMinMC(C124, C125, C126, C127, 1, C128)</f>
        <v>-0.80854331437008042</v>
      </c>
      <c r="Y203" s="32"/>
      <c r="Z203" s="32">
        <f>X201</f>
        <v>1.1095913648992095</v>
      </c>
      <c r="AA203" s="32"/>
      <c r="AB203" s="32">
        <f>X203</f>
        <v>-0.80854331437008042</v>
      </c>
      <c r="AC203" s="32"/>
      <c r="AD203" s="32"/>
      <c r="AE203" s="32"/>
      <c r="AF203" s="32"/>
      <c r="AG203" s="32"/>
      <c r="AH203" s="32"/>
      <c r="AI203" s="32"/>
      <c r="AJ203" s="32"/>
      <c r="AK203" s="32"/>
      <c r="AL203" s="32"/>
      <c r="AM203" s="32"/>
      <c r="AN203" s="32"/>
      <c r="AO203" s="32"/>
      <c r="AP203" s="32"/>
      <c r="AQ203" s="32"/>
      <c r="AR203" s="32"/>
      <c r="AS203" s="32"/>
      <c r="AT203" s="32"/>
      <c r="AU203" s="32"/>
      <c r="AV203" s="32"/>
      <c r="AW203" s="32"/>
      <c r="AX203" s="32"/>
      <c r="AY203" s="32"/>
      <c r="AZ203" s="32"/>
      <c r="BA203" s="32"/>
      <c r="BB203" s="32"/>
      <c r="BC203" s="32"/>
      <c r="BD203" s="32"/>
      <c r="BE203" s="32"/>
      <c r="BF203" s="32"/>
      <c r="BG203" s="32"/>
      <c r="BH203" s="32"/>
      <c r="BI203" s="32"/>
      <c r="BJ203" s="32"/>
      <c r="BK203" s="32"/>
      <c r="BL203" s="32"/>
      <c r="BM203" s="32"/>
      <c r="BN203" s="32"/>
      <c r="BO203" s="32"/>
      <c r="BP203" s="32"/>
      <c r="BQ203" s="32"/>
      <c r="BR203" s="32"/>
      <c r="BS203" s="32"/>
      <c r="BT203" s="32"/>
      <c r="BU203" s="32"/>
      <c r="BV203" s="32"/>
      <c r="BW203" s="32"/>
      <c r="BX203" s="32"/>
      <c r="BY203" s="32"/>
      <c r="BZ203" s="32"/>
      <c r="CA203" s="32"/>
      <c r="CB203" s="32"/>
      <c r="CC203" s="32"/>
      <c r="CD203" s="32"/>
      <c r="CE203" s="32"/>
      <c r="CF203" s="32"/>
      <c r="CG203" s="32"/>
      <c r="CH203" s="32"/>
      <c r="CI203" s="32"/>
      <c r="CJ203" s="32"/>
      <c r="CK203" s="32"/>
      <c r="CL203" s="32"/>
      <c r="CM203" s="32"/>
      <c r="CN203" s="32"/>
      <c r="CO203" s="32"/>
      <c r="CP203" s="32"/>
      <c r="CQ203" s="32"/>
      <c r="CR203" s="32"/>
      <c r="CS203" s="32"/>
      <c r="CT203" s="32"/>
      <c r="CU203" s="32"/>
      <c r="CV203" s="32"/>
      <c r="CW203" s="32"/>
      <c r="CX203" s="32"/>
      <c r="CY203" s="32"/>
      <c r="CZ203" s="32"/>
      <c r="DA203" s="32"/>
      <c r="DB203" s="32"/>
      <c r="DC203" s="32"/>
      <c r="DD203" s="32"/>
      <c r="DE203" s="32"/>
      <c r="DF203" s="32"/>
      <c r="DG203" s="32"/>
    </row>
    <row r="204" spans="3:111" ht="20.350000000000001" customHeight="1" x14ac:dyDescent="0.45">
      <c r="C204" s="47" t="s">
        <v>51</v>
      </c>
      <c r="D204" s="32">
        <f>LOG(ABS(D202-$X201))</f>
        <v>-0.5958736455348389</v>
      </c>
      <c r="E204" s="32">
        <f t="shared" ref="E204:Q204" si="27">LOG(ABS(E202-$X201))</f>
        <v>-0.64796767378846321</v>
      </c>
      <c r="F204" s="32">
        <f t="shared" si="27"/>
        <v>-0.75605151834027751</v>
      </c>
      <c r="G204" s="32">
        <f t="shared" si="27"/>
        <v>-0.79459992242031052</v>
      </c>
      <c r="H204" s="32">
        <f t="shared" si="27"/>
        <v>-0.85937342233904279</v>
      </c>
      <c r="I204" s="32">
        <f t="shared" si="27"/>
        <v>-0.89196385901740327</v>
      </c>
      <c r="J204" s="32">
        <f t="shared" si="27"/>
        <v>-0.93705276315534747</v>
      </c>
      <c r="K204" s="32">
        <f t="shared" si="27"/>
        <v>-0.9661884620582154</v>
      </c>
      <c r="L204" s="32">
        <f t="shared" si="27"/>
        <v>-1.0000529088467194</v>
      </c>
      <c r="M204" s="32">
        <f t="shared" si="27"/>
        <v>-1.0269086102172751</v>
      </c>
      <c r="N204" s="32">
        <f t="shared" si="27"/>
        <v>-1.0535276202411765</v>
      </c>
      <c r="O204" s="32">
        <f t="shared" si="27"/>
        <v>-1.0787620677569745</v>
      </c>
      <c r="P204" s="32">
        <f t="shared" si="27"/>
        <v>-1.1003189876243811</v>
      </c>
      <c r="Q204" s="32">
        <f t="shared" si="27"/>
        <v>-1.1243444891242365</v>
      </c>
      <c r="R204" s="32">
        <f t="shared" ref="R204" si="28">LOG(ABS(R202-$X201))</f>
        <v>-1.1421638106103571</v>
      </c>
      <c r="S204" s="32"/>
      <c r="T204" s="32"/>
      <c r="U204" s="32"/>
      <c r="V204" s="32"/>
      <c r="W204" s="32"/>
      <c r="X204" s="32"/>
      <c r="Y204" s="32"/>
      <c r="Z204" s="32">
        <f>X201</f>
        <v>1.1095913648992095</v>
      </c>
      <c r="AA204" s="32"/>
      <c r="AB204" s="32">
        <f>X203</f>
        <v>-0.80854331437008042</v>
      </c>
      <c r="AC204" s="32"/>
      <c r="AD204" s="32"/>
      <c r="AE204" s="32"/>
      <c r="AF204" s="32"/>
      <c r="AG204" s="32"/>
      <c r="AH204" s="32"/>
      <c r="AI204" s="32"/>
      <c r="AJ204" s="32"/>
      <c r="AK204" s="32"/>
      <c r="AL204" s="32"/>
      <c r="AM204" s="32"/>
      <c r="AN204" s="32"/>
      <c r="AO204" s="32"/>
      <c r="AP204" s="32"/>
      <c r="AQ204" s="32"/>
      <c r="AR204" s="32"/>
      <c r="AS204" s="32"/>
      <c r="AT204" s="32"/>
      <c r="AU204" s="32"/>
      <c r="AV204" s="32"/>
      <c r="AW204" s="32"/>
      <c r="AX204" s="32"/>
      <c r="AY204" s="32"/>
      <c r="AZ204" s="32"/>
      <c r="BA204" s="32"/>
      <c r="BB204" s="32"/>
      <c r="BC204" s="32"/>
      <c r="BD204" s="32"/>
      <c r="BE204" s="32"/>
      <c r="BF204" s="32"/>
      <c r="BG204" s="32"/>
      <c r="BH204" s="32"/>
      <c r="BI204" s="32"/>
      <c r="BJ204" s="32"/>
      <c r="BK204" s="32"/>
      <c r="BL204" s="32"/>
      <c r="BM204" s="32"/>
      <c r="BN204" s="32"/>
      <c r="BO204" s="32"/>
      <c r="BP204" s="32"/>
      <c r="BQ204" s="32"/>
      <c r="BR204" s="32"/>
      <c r="BS204" s="32"/>
      <c r="BT204" s="32"/>
      <c r="BU204" s="32"/>
      <c r="BV204" s="32"/>
      <c r="BW204" s="32"/>
      <c r="BX204" s="32"/>
      <c r="BY204" s="32"/>
      <c r="BZ204" s="32"/>
      <c r="CA204" s="32"/>
      <c r="CB204" s="32"/>
      <c r="CC204" s="32"/>
      <c r="CD204" s="32"/>
      <c r="CE204" s="32"/>
      <c r="CF204" s="32"/>
      <c r="CG204" s="32"/>
      <c r="CH204" s="32"/>
      <c r="CI204" s="32"/>
      <c r="CJ204" s="32"/>
      <c r="CK204" s="32"/>
      <c r="CL204" s="32"/>
      <c r="CM204" s="32"/>
      <c r="CN204" s="32"/>
      <c r="CO204" s="32"/>
      <c r="CP204" s="32"/>
      <c r="CQ204" s="32"/>
      <c r="CR204" s="32"/>
      <c r="CS204" s="32"/>
      <c r="CT204" s="32"/>
      <c r="CU204" s="32"/>
      <c r="CV204" s="32"/>
      <c r="CW204" s="32"/>
      <c r="CX204" s="32"/>
      <c r="CY204" s="32"/>
      <c r="CZ204" s="32"/>
      <c r="DA204" s="32"/>
      <c r="DB204" s="32"/>
      <c r="DC204" s="32"/>
      <c r="DD204" s="32"/>
      <c r="DE204" s="32"/>
      <c r="DF204" s="32"/>
      <c r="DG204" s="32"/>
    </row>
    <row r="205" spans="3:111" ht="20.350000000000001" customHeight="1" x14ac:dyDescent="0.45">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2"/>
      <c r="AB205" s="32"/>
      <c r="AC205" s="32"/>
      <c r="AD205" s="32"/>
      <c r="AE205" s="32"/>
      <c r="AF205" s="32"/>
      <c r="AG205" s="32"/>
      <c r="AH205" s="32"/>
      <c r="AI205" s="32"/>
      <c r="AJ205" s="32"/>
      <c r="AK205" s="32"/>
      <c r="AL205" s="32"/>
      <c r="AM205" s="32"/>
      <c r="AN205" s="32"/>
      <c r="AO205" s="32"/>
      <c r="AP205" s="32"/>
      <c r="AQ205" s="32"/>
      <c r="AR205" s="32"/>
      <c r="AS205" s="32"/>
      <c r="AT205" s="32"/>
      <c r="AU205" s="32"/>
      <c r="AV205" s="32"/>
      <c r="AW205" s="32"/>
      <c r="AX205" s="32"/>
      <c r="AY205" s="32"/>
      <c r="AZ205" s="32"/>
      <c r="BA205" s="32"/>
      <c r="BB205" s="32"/>
      <c r="BC205" s="32"/>
      <c r="BD205" s="32"/>
      <c r="BE205" s="32"/>
      <c r="BF205" s="32"/>
      <c r="BG205" s="32"/>
      <c r="BH205" s="32"/>
      <c r="BI205" s="32"/>
      <c r="BJ205" s="32"/>
      <c r="BK205" s="32"/>
      <c r="BL205" s="32"/>
      <c r="BM205" s="32"/>
      <c r="BN205" s="32"/>
      <c r="BO205" s="32"/>
      <c r="BP205" s="32"/>
      <c r="BQ205" s="32"/>
      <c r="BR205" s="32"/>
      <c r="BS205" s="32"/>
      <c r="BT205" s="32"/>
      <c r="BU205" s="32"/>
      <c r="BV205" s="32"/>
      <c r="BW205" s="32"/>
      <c r="BX205" s="32"/>
      <c r="BY205" s="32"/>
      <c r="BZ205" s="32"/>
      <c r="CA205" s="32"/>
      <c r="CB205" s="32"/>
      <c r="CC205" s="32"/>
      <c r="CD205" s="32"/>
      <c r="CE205" s="32"/>
      <c r="CF205" s="32"/>
      <c r="CG205" s="32"/>
      <c r="CH205" s="32"/>
      <c r="CI205" s="32"/>
      <c r="CJ205" s="32"/>
      <c r="CK205" s="32"/>
      <c r="CL205" s="32"/>
      <c r="CM205" s="32"/>
      <c r="CN205" s="32"/>
      <c r="CO205" s="32"/>
      <c r="CP205" s="32"/>
      <c r="CQ205" s="32"/>
      <c r="CR205" s="32"/>
      <c r="CS205" s="32"/>
      <c r="CT205" s="32"/>
      <c r="CU205" s="32"/>
      <c r="CV205" s="32"/>
      <c r="CW205" s="32"/>
      <c r="CX205" s="32"/>
      <c r="CY205" s="32"/>
      <c r="CZ205" s="32"/>
      <c r="DA205" s="32"/>
      <c r="DB205" s="32"/>
      <c r="DC205" s="32"/>
      <c r="DD205" s="32"/>
      <c r="DE205" s="32"/>
      <c r="DF205" s="32"/>
      <c r="DG205" s="32"/>
    </row>
    <row r="206" spans="3:111" ht="20.350000000000001" customHeight="1" x14ac:dyDescent="0.45">
      <c r="C206" s="47" t="s">
        <v>55</v>
      </c>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2"/>
      <c r="AB206" s="32"/>
      <c r="AC206" s="32"/>
      <c r="AD206" s="32"/>
      <c r="AE206" s="32"/>
      <c r="AF206" s="32"/>
      <c r="AG206" s="32"/>
      <c r="AH206" s="32"/>
      <c r="AI206" s="32"/>
      <c r="AJ206" s="32"/>
      <c r="AK206" s="32"/>
      <c r="AL206" s="32"/>
      <c r="AM206" s="32"/>
      <c r="AN206" s="32"/>
      <c r="AO206" s="32"/>
      <c r="AP206" s="32"/>
      <c r="AQ206" s="32"/>
      <c r="AR206" s="32"/>
      <c r="AS206" s="32"/>
      <c r="AT206" s="32"/>
      <c r="AU206" s="32"/>
      <c r="AV206" s="32"/>
      <c r="AW206" s="32"/>
      <c r="AX206" s="32"/>
      <c r="AY206" s="32"/>
      <c r="AZ206" s="32"/>
      <c r="BA206" s="32"/>
      <c r="BB206" s="32"/>
      <c r="BC206" s="32"/>
      <c r="BD206" s="32"/>
      <c r="BE206" s="32"/>
      <c r="BF206" s="32"/>
      <c r="BG206" s="32"/>
      <c r="BH206" s="32"/>
      <c r="BI206" s="32"/>
      <c r="BJ206" s="32"/>
      <c r="BK206" s="32"/>
      <c r="BL206" s="32"/>
      <c r="BM206" s="32"/>
      <c r="BN206" s="32"/>
      <c r="BO206" s="32"/>
      <c r="BP206" s="32"/>
      <c r="BQ206" s="32"/>
      <c r="BR206" s="32"/>
      <c r="BS206" s="32"/>
      <c r="BT206" s="32"/>
      <c r="BU206" s="32"/>
      <c r="BV206" s="32"/>
      <c r="BW206" s="32"/>
      <c r="BX206" s="32"/>
      <c r="BY206" s="32"/>
      <c r="BZ206" s="32"/>
      <c r="CA206" s="32"/>
      <c r="CB206" s="32"/>
      <c r="CC206" s="32"/>
      <c r="CD206" s="32"/>
      <c r="CE206" s="32"/>
      <c r="CF206" s="32"/>
      <c r="CG206" s="32"/>
      <c r="CH206" s="32"/>
      <c r="CI206" s="32"/>
      <c r="CJ206" s="32"/>
      <c r="CK206" s="32"/>
      <c r="CL206" s="32"/>
      <c r="CM206" s="32"/>
      <c r="CN206" s="32"/>
      <c r="CO206" s="32"/>
      <c r="CP206" s="32"/>
      <c r="CQ206" s="32"/>
      <c r="CR206" s="32"/>
      <c r="CS206" s="32"/>
      <c r="CT206" s="32"/>
      <c r="CU206" s="32"/>
      <c r="CV206" s="32"/>
      <c r="CW206" s="32"/>
      <c r="CX206" s="32"/>
      <c r="CY206" s="32"/>
      <c r="CZ206" s="32"/>
      <c r="DA206" s="32"/>
      <c r="DB206" s="32"/>
      <c r="DC206" s="32"/>
      <c r="DD206" s="32"/>
      <c r="DE206" s="32"/>
      <c r="DF206" s="32"/>
      <c r="DG206" s="32"/>
    </row>
    <row r="207" spans="3:111" ht="20.350000000000001" customHeight="1" x14ac:dyDescent="0.45">
      <c r="C207" s="47" t="s">
        <v>38</v>
      </c>
      <c r="D207" s="32" cm="1">
        <f t="array" ref="D207">PricePutMin($C124,$C125,$C126,$C127,D175,$C128)</f>
        <v>7.9883435222794557</v>
      </c>
      <c r="E207" s="32" cm="1">
        <f t="array" ref="E207">PricePutMin($C124,$C125,$C126,$C127,E175,$C128)</f>
        <v>8.7319471554348755</v>
      </c>
      <c r="F207" s="32" cm="1">
        <f t="array" ref="F207">PricePutMin($C124,$C125,$C126,$C127,F175,$C128)</f>
        <v>9.0822383718843565</v>
      </c>
      <c r="G207" s="32" cm="1">
        <f t="array" ref="G207">PricePutMin($C124,$C125,$C126,$C127,G175,$C128)</f>
        <v>9.4006035120093845</v>
      </c>
      <c r="H207" s="32" cm="1">
        <f t="array" ref="H207">PricePutMin($C124,$C125,$C126,$C127,H175,$C128)</f>
        <v>9.6062715195518749</v>
      </c>
      <c r="I207" s="32" cm="1">
        <f t="array" ref="I207">PricePutMin($C124,$C125,$C126,$C127,I175,$C128)</f>
        <v>9.7917413682287187</v>
      </c>
      <c r="J207" s="32" cm="1">
        <f t="array" ref="J207">PricePutMin($C124,$C125,$C126,$C127,J175,$C128)</f>
        <v>9.931500809875546</v>
      </c>
      <c r="K207" s="32" cm="1">
        <f t="array" ref="K207">PricePutMin($C124,$C125,$C126,$C127,K175,$C128)</f>
        <v>10.056149029960565</v>
      </c>
      <c r="L207" s="32" cm="1">
        <f t="array" ref="L207">PricePutMin($C124,$C125,$C126,$C127,L175,$C128)</f>
        <v>10.159274108186549</v>
      </c>
      <c r="M207" s="32" cm="1">
        <f t="array" ref="M207">PricePutMin($C124,$C125,$C126,$C127,M175,$C128)</f>
        <v>10.250291635722187</v>
      </c>
      <c r="N207" s="32" cm="1">
        <f t="array" ref="N207">PricePutMin($C124,$C125,$C126,$C127,N175,$C128)</f>
        <v>10.330535540407435</v>
      </c>
      <c r="O207" s="32" cm="1">
        <f t="array" ref="O207">PricePutMin($C124,$C125,$C126,$C127,O175,$C128)</f>
        <v>10.400702122438</v>
      </c>
      <c r="P207" s="32" cm="1">
        <f t="array" ref="P207">PricePutMin($C124,$C125,$C126,$C127,P175,$C128)</f>
        <v>10.465505967901933</v>
      </c>
      <c r="Q207" s="32" cm="1">
        <f t="array" ref="Q207">PricePutMin($C124,$C125,$C126,$C127,Q175,$C128)</f>
        <v>10.52170922668094</v>
      </c>
      <c r="R207" s="32" cm="1">
        <f t="array" ref="R207">PricePutMin($C124,$C125,$C126,$C127,R175,$C128)</f>
        <v>10.5755028203594</v>
      </c>
      <c r="S207" s="32"/>
      <c r="T207" s="32"/>
      <c r="U207" s="32"/>
      <c r="V207" s="32"/>
      <c r="W207" s="32"/>
      <c r="X207" s="32"/>
      <c r="Y207" s="32"/>
      <c r="Z207" s="32"/>
      <c r="AA207" s="32"/>
      <c r="AB207" s="32"/>
      <c r="AC207" s="32"/>
      <c r="AD207" s="32"/>
      <c r="AE207" s="32"/>
      <c r="AF207" s="32"/>
      <c r="AG207" s="32"/>
      <c r="AH207" s="32"/>
      <c r="AI207" s="32"/>
      <c r="AJ207" s="32"/>
      <c r="AK207" s="32"/>
      <c r="AL207" s="32"/>
      <c r="AM207" s="32"/>
      <c r="AN207" s="32"/>
      <c r="AO207" s="32"/>
      <c r="AP207" s="32"/>
      <c r="AQ207" s="32"/>
      <c r="AR207" s="32"/>
      <c r="AS207" s="32"/>
      <c r="AT207" s="32"/>
      <c r="AU207" s="32"/>
      <c r="AV207" s="32"/>
      <c r="AW207" s="32"/>
      <c r="AX207" s="32"/>
      <c r="AY207" s="32"/>
      <c r="AZ207" s="32"/>
      <c r="BA207" s="32"/>
      <c r="BB207" s="32"/>
      <c r="BC207" s="32"/>
      <c r="BD207" s="32"/>
      <c r="BE207" s="32"/>
      <c r="BF207" s="32"/>
      <c r="BG207" s="32"/>
      <c r="BH207" s="32"/>
      <c r="BI207" s="32"/>
      <c r="BJ207" s="32"/>
      <c r="BK207" s="32"/>
      <c r="BL207" s="32"/>
      <c r="BM207" s="32"/>
      <c r="BN207" s="32"/>
      <c r="BO207" s="32"/>
      <c r="BP207" s="32"/>
      <c r="BQ207" s="32"/>
      <c r="BR207" s="32"/>
      <c r="BS207" s="32"/>
      <c r="BT207" s="32"/>
      <c r="BU207" s="32"/>
      <c r="BV207" s="32"/>
      <c r="BW207" s="32"/>
      <c r="BX207" s="32"/>
      <c r="BY207" s="32"/>
      <c r="BZ207" s="32"/>
      <c r="CA207" s="32"/>
      <c r="CB207" s="32"/>
      <c r="CC207" s="32"/>
      <c r="CD207" s="32"/>
      <c r="CE207" s="32"/>
      <c r="CF207" s="32"/>
      <c r="CG207" s="32"/>
      <c r="CH207" s="32"/>
      <c r="CI207" s="32"/>
      <c r="CJ207" s="32"/>
      <c r="CK207" s="32"/>
      <c r="CL207" s="32"/>
      <c r="CM207" s="32"/>
      <c r="CN207" s="32"/>
      <c r="CO207" s="32"/>
      <c r="CP207" s="32"/>
      <c r="CQ207" s="32"/>
      <c r="CR207" s="32"/>
      <c r="CS207" s="32"/>
      <c r="CT207" s="32"/>
      <c r="CU207" s="32"/>
      <c r="CV207" s="32"/>
      <c r="CW207" s="32"/>
      <c r="CX207" s="32"/>
      <c r="CY207" s="32"/>
      <c r="CZ207" s="32"/>
      <c r="DA207" s="32"/>
      <c r="DB207" s="32"/>
      <c r="DC207" s="32"/>
      <c r="DD207" s="32"/>
      <c r="DE207" s="32"/>
      <c r="DF207" s="32"/>
      <c r="DG207" s="32"/>
    </row>
    <row r="208" spans="3:111" ht="20.350000000000001" customHeight="1" x14ac:dyDescent="0.45">
      <c r="C208" s="47" t="s">
        <v>49</v>
      </c>
      <c r="D208" s="32" cm="1">
        <f t="array" ref="D208">DeltaPutMin($C124,$C125,$C126,$C127,D175,$C128)</f>
        <v>-0.57898271719277183</v>
      </c>
      <c r="E208" s="32" cm="1">
        <f t="array" ref="E208">DeltaPutMin($C124,$C125,$C126,$C127,E175,$C128)</f>
        <v>-0.60013118096196416</v>
      </c>
      <c r="F208" s="32" cm="1">
        <f t="array" ref="F208">DeltaPutMin($C124,$C125,$C126,$C127,F175,$C128)</f>
        <v>-0.64452825842849937</v>
      </c>
      <c r="G208" s="32" cm="1">
        <f t="array" ref="G208">DeltaPutMin($C124,$C125,$C126,$C127,G175,$C128)</f>
        <v>-0.65631225909758251</v>
      </c>
      <c r="H208" s="32" cm="1">
        <f t="array" ref="H208">DeltaPutMin($C124,$C125,$C126,$C127,H175,$C128)</f>
        <v>-0.67622222153945943</v>
      </c>
      <c r="I208" s="32" cm="1">
        <f t="array" ref="I208">DeltaPutMin($C124,$C125,$C126,$C127,I175,$C128)</f>
        <v>-0.68447874736053604</v>
      </c>
      <c r="J208" s="32" cm="1">
        <f t="array" ref="J208">DeltaPutMin($C124,$C125,$C126,$C127,J175,$C128)</f>
        <v>-0.69576148369941959</v>
      </c>
      <c r="K208" s="32" cm="1">
        <f t="array" ref="K208">DeltaPutMin($C124,$C125,$C126,$C127,K175,$C128)</f>
        <v>-0.70213469661000805</v>
      </c>
      <c r="L208" s="32" cm="1">
        <f t="array" ref="L208">DeltaPutMin($C124,$C125,$C126,$C127,L175,$C128)</f>
        <v>-0.70933097890438113</v>
      </c>
      <c r="M208" s="32" cm="1">
        <f t="array" ref="M208">DeltaPutMin($C124,$C125,$C126,$C127,M175,$C128)</f>
        <v>-0.71452681301003074</v>
      </c>
      <c r="N208" s="32" cm="1">
        <f t="array" ref="N208">DeltaPutMin($C124,$C125,$C126,$C127,N175,$C128)</f>
        <v>-0.7194541899193323</v>
      </c>
      <c r="O208" s="32" cm="1">
        <f t="array" ref="O208">DeltaPutMin($C124,$C125,$C126,$C127,O175,$C128)</f>
        <v>-0.72384257222944826</v>
      </c>
      <c r="P208" s="32" cm="1">
        <f t="array" ref="P208">DeltaPutMin($C124,$C125,$C126,$C127,P175,$C128)</f>
        <v>-0.72737745299670831</v>
      </c>
      <c r="Q208" s="32" cm="1">
        <f t="array" ref="Q208">DeltaPutMin($C124,$C125,$C126,$C127,Q175,$C128)</f>
        <v>-0.73117698130349595</v>
      </c>
      <c r="R208" s="32" cm="1">
        <f t="array" ref="R208">DeltaPutMin($C124,$C125,$C126,$C127,R175,$C128)</f>
        <v>-0.73379602040305492</v>
      </c>
      <c r="S208" s="32"/>
      <c r="T208" s="32"/>
      <c r="U208" s="32"/>
      <c r="V208" s="32"/>
      <c r="W208" s="32"/>
      <c r="X208" s="32"/>
      <c r="Y208" s="32"/>
      <c r="Z208" s="32"/>
      <c r="AA208" s="32"/>
      <c r="AB208" s="32"/>
      <c r="AC208" s="32"/>
      <c r="AD208" s="32"/>
      <c r="AE208" s="32"/>
      <c r="AF208" s="32"/>
      <c r="AG208" s="32"/>
      <c r="AH208" s="32"/>
      <c r="AI208" s="32"/>
      <c r="AJ208" s="32"/>
      <c r="AK208" s="32"/>
      <c r="AL208" s="32"/>
      <c r="AM208" s="32"/>
      <c r="AN208" s="32"/>
      <c r="AO208" s="32"/>
      <c r="AP208" s="32"/>
      <c r="AQ208" s="32"/>
      <c r="AR208" s="32"/>
      <c r="AS208" s="32"/>
      <c r="AT208" s="32"/>
      <c r="AU208" s="32"/>
      <c r="AV208" s="32"/>
      <c r="AW208" s="32"/>
      <c r="AX208" s="32"/>
      <c r="AY208" s="32"/>
      <c r="AZ208" s="32"/>
      <c r="BA208" s="32"/>
      <c r="BB208" s="32"/>
      <c r="BC208" s="32"/>
      <c r="BD208" s="32"/>
      <c r="BE208" s="32"/>
      <c r="BF208" s="32"/>
      <c r="BG208" s="32"/>
      <c r="BH208" s="32"/>
      <c r="BI208" s="32"/>
      <c r="BJ208" s="32"/>
      <c r="BK208" s="32"/>
      <c r="BL208" s="32"/>
      <c r="BM208" s="32"/>
      <c r="BN208" s="32"/>
      <c r="BO208" s="32"/>
      <c r="BP208" s="32"/>
      <c r="BQ208" s="32"/>
      <c r="BR208" s="32"/>
      <c r="BS208" s="32"/>
      <c r="BT208" s="32"/>
      <c r="BU208" s="32"/>
      <c r="BV208" s="32"/>
      <c r="BW208" s="32"/>
      <c r="BX208" s="32"/>
      <c r="BY208" s="32"/>
      <c r="BZ208" s="32"/>
      <c r="CA208" s="32"/>
      <c r="CB208" s="32"/>
      <c r="CC208" s="32"/>
      <c r="CD208" s="32"/>
      <c r="CE208" s="32"/>
      <c r="CF208" s="32"/>
      <c r="CG208" s="32"/>
      <c r="CH208" s="32"/>
      <c r="CI208" s="32"/>
      <c r="CJ208" s="32"/>
      <c r="CK208" s="32"/>
      <c r="CL208" s="32"/>
      <c r="CM208" s="32"/>
      <c r="CN208" s="32"/>
      <c r="CO208" s="32"/>
      <c r="CP208" s="32"/>
      <c r="CQ208" s="32"/>
      <c r="CR208" s="32"/>
      <c r="CS208" s="32"/>
      <c r="CT208" s="32"/>
      <c r="CU208" s="32"/>
      <c r="CV208" s="32"/>
      <c r="CW208" s="32"/>
      <c r="CX208" s="32"/>
      <c r="CY208" s="32"/>
      <c r="CZ208" s="32"/>
      <c r="DA208" s="32"/>
      <c r="DB208" s="32"/>
      <c r="DC208" s="32"/>
      <c r="DD208" s="32"/>
      <c r="DE208" s="32"/>
      <c r="DF208" s="32"/>
      <c r="DG208" s="32"/>
    </row>
    <row r="209" spans="3:111" ht="20.350000000000001" customHeight="1" x14ac:dyDescent="0.45">
      <c r="C209" s="47" t="s">
        <v>50</v>
      </c>
      <c r="D209" s="32">
        <f>LOG(ABS(D207-$X202))</f>
        <v>0.50313891140276701</v>
      </c>
      <c r="E209" s="32">
        <f t="shared" ref="E209:Q209" si="29">LOG(ABS(E207-$X202))</f>
        <v>0.38767674572903649</v>
      </c>
      <c r="F209" s="32">
        <f t="shared" si="29"/>
        <v>0.32042076439147543</v>
      </c>
      <c r="G209" s="32">
        <f t="shared" si="29"/>
        <v>0.2486980011761771</v>
      </c>
      <c r="H209" s="32">
        <f t="shared" si="29"/>
        <v>0.19514885548986688</v>
      </c>
      <c r="I209" s="32">
        <f t="shared" si="29"/>
        <v>0.14045094659683957</v>
      </c>
      <c r="J209" s="32">
        <f t="shared" si="29"/>
        <v>9.4142183975860147E-2</v>
      </c>
      <c r="K209" s="32">
        <f t="shared" si="29"/>
        <v>4.8212809973156676E-2</v>
      </c>
      <c r="L209" s="32">
        <f t="shared" si="29"/>
        <v>6.1602517435758973E-3</v>
      </c>
      <c r="M209" s="32">
        <f t="shared" si="29"/>
        <v>-3.4672191336260691E-2</v>
      </c>
      <c r="N209" s="32">
        <f t="shared" si="29"/>
        <v>-7.41599845192948E-2</v>
      </c>
      <c r="O209" s="32">
        <f t="shared" si="29"/>
        <v>-0.11190053656619137</v>
      </c>
      <c r="P209" s="32">
        <f t="shared" si="29"/>
        <v>-0.14993379021610437</v>
      </c>
      <c r="Q209" s="32">
        <f t="shared" si="29"/>
        <v>-0.18585202182471192</v>
      </c>
      <c r="R209" s="32">
        <f t="shared" ref="R209" si="30">LOG(ABS(R207-$X202))</f>
        <v>-0.223257517092182</v>
      </c>
      <c r="S209" s="32"/>
      <c r="T209" s="32"/>
      <c r="U209" s="32"/>
      <c r="V209" s="32"/>
      <c r="W209" s="32"/>
      <c r="X209" s="32"/>
      <c r="Y209" s="32"/>
      <c r="Z209" s="32"/>
      <c r="AA209" s="32"/>
      <c r="AB209" s="32"/>
      <c r="AC209" s="32"/>
      <c r="AD209" s="32"/>
      <c r="AE209" s="32"/>
      <c r="AF209" s="32"/>
      <c r="AG209" s="32"/>
      <c r="AH209" s="32"/>
      <c r="AI209" s="32"/>
      <c r="AJ209" s="32"/>
      <c r="AK209" s="32"/>
      <c r="AL209" s="32"/>
      <c r="AM209" s="32"/>
      <c r="AN209" s="32"/>
      <c r="AO209" s="32"/>
      <c r="AP209" s="32"/>
      <c r="AQ209" s="32"/>
      <c r="AR209" s="32"/>
      <c r="AS209" s="32"/>
      <c r="AT209" s="32"/>
      <c r="AU209" s="32"/>
      <c r="AV209" s="32"/>
      <c r="AW209" s="32"/>
      <c r="AX209" s="32"/>
      <c r="AY209" s="32"/>
      <c r="AZ209" s="32"/>
      <c r="BA209" s="32"/>
      <c r="BB209" s="32"/>
      <c r="BC209" s="32"/>
      <c r="BD209" s="32"/>
      <c r="BE209" s="32"/>
      <c r="BF209" s="32"/>
      <c r="BG209" s="32"/>
      <c r="BH209" s="32"/>
      <c r="BI209" s="32"/>
      <c r="BJ209" s="32"/>
      <c r="BK209" s="32"/>
      <c r="BL209" s="32"/>
      <c r="BM209" s="32"/>
      <c r="BN209" s="32"/>
      <c r="BO209" s="32"/>
      <c r="BP209" s="32"/>
      <c r="BQ209" s="32"/>
      <c r="BR209" s="32"/>
      <c r="BS209" s="32"/>
      <c r="BT209" s="32"/>
      <c r="BU209" s="32"/>
      <c r="BV209" s="32"/>
      <c r="BW209" s="32"/>
      <c r="BX209" s="32"/>
      <c r="BY209" s="32"/>
      <c r="BZ209" s="32"/>
      <c r="CA209" s="32"/>
      <c r="CB209" s="32"/>
      <c r="CC209" s="32"/>
      <c r="CD209" s="32"/>
      <c r="CE209" s="32"/>
      <c r="CF209" s="32"/>
      <c r="CG209" s="32"/>
      <c r="CH209" s="32"/>
      <c r="CI209" s="32"/>
      <c r="CJ209" s="32"/>
      <c r="CK209" s="32"/>
      <c r="CL209" s="32"/>
      <c r="CM209" s="32"/>
      <c r="CN209" s="32"/>
      <c r="CO209" s="32"/>
      <c r="CP209" s="32"/>
      <c r="CQ209" s="32"/>
      <c r="CR209" s="32"/>
      <c r="CS209" s="32"/>
      <c r="CT209" s="32"/>
      <c r="CU209" s="32"/>
      <c r="CV209" s="32"/>
      <c r="CW209" s="32"/>
      <c r="CX209" s="32"/>
      <c r="CY209" s="32"/>
      <c r="CZ209" s="32"/>
      <c r="DA209" s="32"/>
      <c r="DB209" s="32"/>
      <c r="DC209" s="32"/>
      <c r="DD209" s="32"/>
      <c r="DE209" s="32"/>
      <c r="DF209" s="32"/>
      <c r="DG209" s="32"/>
    </row>
    <row r="210" spans="3:111" ht="20.350000000000001" customHeight="1" x14ac:dyDescent="0.45">
      <c r="C210" s="47" t="s">
        <v>51</v>
      </c>
      <c r="D210" s="32">
        <f>LOG(ABS(D208-$X203))</f>
        <v>-0.63910265415302625</v>
      </c>
      <c r="E210" s="32">
        <f t="shared" ref="E210:Q210" si="31">LOG(ABS(E208-$X203))</f>
        <v>-0.68107700073336419</v>
      </c>
      <c r="F210" s="32">
        <f t="shared" si="31"/>
        <v>-0.78511628358507535</v>
      </c>
      <c r="G210" s="32">
        <f t="shared" si="31"/>
        <v>-0.81749674206155243</v>
      </c>
      <c r="H210" s="32">
        <f t="shared" si="31"/>
        <v>-0.87837092096906433</v>
      </c>
      <c r="I210" s="32">
        <f t="shared" si="31"/>
        <v>-0.90635223582189095</v>
      </c>
      <c r="J210" s="32">
        <f t="shared" si="31"/>
        <v>-0.94776086023788075</v>
      </c>
      <c r="K210" s="32">
        <f t="shared" si="31"/>
        <v>-0.97302319822435324</v>
      </c>
      <c r="L210" s="32">
        <f t="shared" si="31"/>
        <v>-1.0034343269221466</v>
      </c>
      <c r="M210" s="32">
        <f t="shared" si="31"/>
        <v>-1.026795914265568</v>
      </c>
      <c r="N210" s="32">
        <f t="shared" si="31"/>
        <v>-1.0501753091989012</v>
      </c>
      <c r="O210" s="32">
        <f t="shared" si="31"/>
        <v>-1.0721127844016505</v>
      </c>
      <c r="P210" s="32">
        <f t="shared" si="31"/>
        <v>-1.0906265980335155</v>
      </c>
      <c r="Q210" s="32">
        <f t="shared" si="31"/>
        <v>-1.1114479869176079</v>
      </c>
      <c r="R210" s="32">
        <f t="shared" ref="R210" si="32">LOG(ABS(R208-$X203))</f>
        <v>-1.1264045252304389</v>
      </c>
      <c r="S210" s="32"/>
      <c r="T210" s="32"/>
      <c r="U210" s="32"/>
      <c r="V210" s="32"/>
      <c r="W210" s="32"/>
      <c r="X210" s="32"/>
      <c r="Y210" s="32"/>
      <c r="Z210" s="32"/>
      <c r="AA210" s="32"/>
      <c r="AB210" s="32"/>
      <c r="AC210" s="32"/>
      <c r="AD210" s="32"/>
      <c r="AE210" s="32"/>
      <c r="AF210" s="32"/>
      <c r="AG210" s="32"/>
      <c r="AH210" s="32"/>
      <c r="AI210" s="32"/>
      <c r="AJ210" s="32"/>
      <c r="AK210" s="32"/>
      <c r="AL210" s="32"/>
      <c r="AM210" s="32"/>
      <c r="AN210" s="32"/>
      <c r="AO210" s="32"/>
      <c r="AP210" s="32"/>
      <c r="AQ210" s="32"/>
      <c r="AR210" s="32"/>
      <c r="AS210" s="32"/>
      <c r="AT210" s="32"/>
      <c r="AU210" s="32"/>
      <c r="AV210" s="32"/>
      <c r="AW210" s="32"/>
      <c r="AX210" s="32"/>
      <c r="AY210" s="32"/>
      <c r="AZ210" s="32"/>
      <c r="BA210" s="32"/>
      <c r="BB210" s="32"/>
      <c r="BC210" s="32"/>
      <c r="BD210" s="32"/>
      <c r="BE210" s="32"/>
      <c r="BF210" s="32"/>
      <c r="BG210" s="32"/>
      <c r="BH210" s="32"/>
      <c r="BI210" s="32"/>
      <c r="BJ210" s="32"/>
      <c r="BK210" s="32"/>
      <c r="BL210" s="32"/>
      <c r="BM210" s="32"/>
      <c r="BN210" s="32"/>
      <c r="BO210" s="32"/>
      <c r="BP210" s="32"/>
      <c r="BQ210" s="32"/>
      <c r="BR210" s="32"/>
      <c r="BS210" s="32"/>
      <c r="BT210" s="32"/>
      <c r="BU210" s="32"/>
      <c r="BV210" s="32"/>
      <c r="BW210" s="32"/>
      <c r="BX210" s="32"/>
      <c r="BY210" s="32"/>
      <c r="BZ210" s="32"/>
      <c r="CA210" s="32"/>
      <c r="CB210" s="32"/>
      <c r="CC210" s="32"/>
      <c r="CD210" s="32"/>
      <c r="CE210" s="32"/>
      <c r="CF210" s="32"/>
      <c r="CG210" s="32"/>
      <c r="CH210" s="32"/>
      <c r="CI210" s="32"/>
      <c r="CJ210" s="32"/>
      <c r="CK210" s="32"/>
      <c r="CL210" s="32"/>
      <c r="CM210" s="32"/>
      <c r="CN210" s="32"/>
      <c r="CO210" s="32"/>
      <c r="CP210" s="32"/>
      <c r="CQ210" s="32"/>
      <c r="CR210" s="32"/>
      <c r="CS210" s="32"/>
      <c r="CT210" s="32" t="s">
        <v>58</v>
      </c>
      <c r="CU210" s="32">
        <f>(LN(C124/C128) + (C125 + 0.5*C126^2)*C127) / (C126*SQRT(C127))</f>
        <v>0.35000000000000003</v>
      </c>
      <c r="CV210" s="32"/>
      <c r="CW210" s="32"/>
      <c r="CX210" s="32"/>
      <c r="CY210" s="32"/>
      <c r="CZ210" s="32"/>
      <c r="DA210" s="32"/>
      <c r="DB210" s="32"/>
      <c r="DC210" s="32"/>
      <c r="DD210" s="32"/>
      <c r="DE210" s="32"/>
      <c r="DF210" s="32"/>
      <c r="DG210" s="32"/>
    </row>
    <row r="211" spans="3:111" ht="20.350000000000001" customHeight="1" x14ac:dyDescent="0.45">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2"/>
      <c r="AB211" s="32"/>
      <c r="AC211" s="32"/>
      <c r="AD211" s="32"/>
      <c r="AE211" s="32"/>
      <c r="AF211" s="32"/>
      <c r="AG211" s="32"/>
      <c r="AH211" s="32"/>
      <c r="AI211" s="32"/>
      <c r="AJ211" s="32"/>
      <c r="AK211" s="32"/>
      <c r="AL211" s="32"/>
      <c r="AM211" s="32"/>
      <c r="AN211" s="32"/>
      <c r="AO211" s="32"/>
      <c r="AP211" s="32"/>
      <c r="AQ211" s="32"/>
      <c r="AR211" s="32"/>
      <c r="AS211" s="32"/>
      <c r="AT211" s="32"/>
      <c r="AU211" s="32"/>
      <c r="AV211" s="32"/>
      <c r="AW211" s="32"/>
      <c r="AX211" s="32"/>
      <c r="AY211" s="32"/>
      <c r="AZ211" s="32"/>
      <c r="BA211" s="32"/>
      <c r="BB211" s="32"/>
      <c r="BC211" s="32"/>
      <c r="BD211" s="32"/>
      <c r="BE211" s="32"/>
      <c r="BF211" s="32"/>
      <c r="BG211" s="32"/>
      <c r="BH211" s="32"/>
      <c r="BI211" s="32"/>
      <c r="BJ211" s="32"/>
      <c r="BK211" s="32"/>
      <c r="BL211" s="32"/>
      <c r="BM211" s="32"/>
      <c r="BN211" s="32"/>
      <c r="BO211" s="32"/>
      <c r="BP211" s="32"/>
      <c r="BQ211" s="32"/>
      <c r="BR211" s="32"/>
      <c r="BS211" s="32"/>
      <c r="BT211" s="32"/>
      <c r="BU211" s="32"/>
      <c r="BV211" s="32"/>
      <c r="BW211" s="32"/>
      <c r="BX211" s="32"/>
      <c r="BY211" s="32"/>
      <c r="BZ211" s="32"/>
      <c r="CA211" s="32"/>
      <c r="CB211" s="32"/>
      <c r="CC211" s="32"/>
      <c r="CD211" s="32"/>
      <c r="CE211" s="32"/>
      <c r="CF211" s="32"/>
      <c r="CG211" s="32"/>
      <c r="CH211" s="32"/>
      <c r="CI211" s="32"/>
      <c r="CJ211" s="32"/>
      <c r="CK211" s="32"/>
      <c r="CL211" s="32"/>
      <c r="CM211" s="32"/>
      <c r="CN211" s="32"/>
      <c r="CO211" s="32"/>
      <c r="CP211" s="32"/>
      <c r="CQ211" s="32"/>
      <c r="CR211" s="32"/>
      <c r="CS211" s="32"/>
      <c r="CT211" s="47" t="s">
        <v>52</v>
      </c>
      <c r="CU211" s="32">
        <f xml:space="preserve"> C124 * _xlfn.NORM.S.DIST( CU210, TRUE ) - C128 * EXP( -C125*C127 ) * _xlfn.NORM.S.DIST( CU210-C126*SQRT(C127), TRUE )</f>
        <v>10.450583572185565</v>
      </c>
      <c r="CV211" s="32">
        <f>CU211</f>
        <v>10.450583572185565</v>
      </c>
      <c r="CW211" s="47" t="s">
        <v>59</v>
      </c>
      <c r="CX211" s="32">
        <f xml:space="preserve"> _xlfn.NORM.S.DIST( CU210, TRUE )</f>
        <v>0.6368306511756191</v>
      </c>
      <c r="CY211" s="32">
        <f>CX211</f>
        <v>0.6368306511756191</v>
      </c>
      <c r="CZ211" s="32"/>
      <c r="DA211" s="32"/>
      <c r="DB211" s="32"/>
      <c r="DC211" s="32"/>
      <c r="DD211" s="32"/>
      <c r="DE211" s="32"/>
      <c r="DF211" s="32"/>
      <c r="DG211" s="32"/>
    </row>
    <row r="212" spans="3:111" ht="20.350000000000001" customHeight="1" x14ac:dyDescent="0.45">
      <c r="C212" s="47" t="s">
        <v>56</v>
      </c>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2"/>
      <c r="AB212" s="32"/>
      <c r="AC212" s="32"/>
      <c r="AD212" s="32"/>
      <c r="AE212" s="32"/>
      <c r="AF212" s="32"/>
      <c r="AG212" s="32"/>
      <c r="AH212" s="32"/>
      <c r="AI212" s="32"/>
      <c r="AJ212" s="32"/>
      <c r="AK212" s="32"/>
      <c r="AL212" s="32"/>
      <c r="AM212" s="32"/>
      <c r="AN212" s="32"/>
      <c r="AO212" s="32"/>
      <c r="AP212" s="32"/>
      <c r="AQ212" s="32"/>
      <c r="AR212" s="32"/>
      <c r="AS212" s="32"/>
      <c r="AT212" s="32"/>
      <c r="AU212" s="32"/>
      <c r="AV212" s="32"/>
      <c r="AW212" s="32"/>
      <c r="AX212" s="32"/>
      <c r="AY212" s="32"/>
      <c r="AZ212" s="32"/>
      <c r="BA212" s="32"/>
      <c r="BB212" s="32"/>
      <c r="BC212" s="32"/>
      <c r="BD212" s="32"/>
      <c r="BE212" s="32"/>
      <c r="BF212" s="32"/>
      <c r="BG212" s="32"/>
      <c r="BH212" s="32"/>
      <c r="BI212" s="32"/>
      <c r="BJ212" s="32"/>
      <c r="BK212" s="32"/>
      <c r="BL212" s="32"/>
      <c r="BM212" s="32"/>
      <c r="BN212" s="32"/>
      <c r="BO212" s="32"/>
      <c r="BP212" s="32"/>
      <c r="BQ212" s="32"/>
      <c r="BR212" s="32"/>
      <c r="BS212" s="32"/>
      <c r="BT212" s="32"/>
      <c r="BU212" s="32"/>
      <c r="BV212" s="32"/>
      <c r="BW212" s="32"/>
      <c r="BX212" s="32"/>
      <c r="BY212" s="32"/>
      <c r="BZ212" s="32"/>
      <c r="CA212" s="32"/>
      <c r="CB212" s="32"/>
      <c r="CC212" s="32"/>
      <c r="CD212" s="32"/>
      <c r="CE212" s="32"/>
      <c r="CF212" s="32"/>
      <c r="CG212" s="32"/>
      <c r="CH212" s="32"/>
      <c r="CI212" s="32"/>
      <c r="CJ212" s="32"/>
      <c r="CK212" s="32"/>
      <c r="CL212" s="32"/>
      <c r="CM212" s="32"/>
      <c r="CN212" s="32"/>
      <c r="CO212" s="32"/>
      <c r="CP212" s="32"/>
      <c r="CQ212" s="32"/>
      <c r="CR212" s="32"/>
      <c r="CS212" s="32"/>
      <c r="CT212" s="32"/>
      <c r="CU212" s="32"/>
      <c r="CV212" s="32">
        <f>CU211</f>
        <v>10.450583572185565</v>
      </c>
      <c r="CW212" s="32"/>
      <c r="CX212" s="32"/>
      <c r="CY212" s="32">
        <f>CX211</f>
        <v>0.6368306511756191</v>
      </c>
      <c r="CZ212" s="32"/>
      <c r="DA212" s="32"/>
      <c r="DB212" s="32"/>
      <c r="DC212" s="32"/>
      <c r="DD212" s="32"/>
      <c r="DE212" s="32"/>
      <c r="DF212" s="32"/>
      <c r="DG212" s="32"/>
    </row>
    <row r="213" spans="3:111" ht="20.350000000000001" customHeight="1" x14ac:dyDescent="0.45">
      <c r="C213" s="47" t="s">
        <v>38</v>
      </c>
      <c r="D213" s="32" cm="1">
        <f t="array" ref="D213">PriceCallAm($C124,$C125,$C126,$C127,D175,$C128)</f>
        <v>10.036615830731341</v>
      </c>
      <c r="E213" s="32" cm="1">
        <f t="array" ref="E213">PriceCallAm($C124,$C125,$C126,$C127,E175,$C128)</f>
        <v>10.900579663552488</v>
      </c>
      <c r="F213" s="32" cm="1">
        <f t="array" ref="F213">PriceCallAm($C124,$C125,$C126,$C127,F175,$C128)</f>
        <v>10.352014239365653</v>
      </c>
      <c r="G213" s="32" cm="1">
        <f t="array" ref="G213">PriceCallAm($C124,$C125,$C126,$C127,G175,$C128)</f>
        <v>10.685644220422226</v>
      </c>
      <c r="H213" s="32" cm="1">
        <f t="array" ref="H213">PriceCallAm($C124,$C125,$C126,$C127,H175,$C128)</f>
        <v>10.44056419396232</v>
      </c>
      <c r="I213" s="32" cm="1">
        <f t="array" ref="I213">PriceCallAm($C124,$C125,$C126,$C127,I175,$C128)</f>
        <v>10.593318538681816</v>
      </c>
      <c r="J213" s="32" cm="1">
        <f t="array" ref="J213">PriceCallAm($C124,$C125,$C126,$C127,J175,$C128)</f>
        <v>10.475933173862805</v>
      </c>
      <c r="K213" s="32" cm="1">
        <f t="array" ref="K213">PriceCallAm($C124,$C125,$C126,$C127,K175,$C128)</f>
        <v>10.542129682611758</v>
      </c>
      <c r="L213" s="32" cm="1">
        <f t="array" ref="L213">PriceCallAm($C124,$C125,$C126,$C127,L175,$C128)</f>
        <v>10.492229833519369</v>
      </c>
      <c r="M213" s="32" cm="1">
        <f t="array" ref="M213">PriceCallAm($C124,$C125,$C126,$C127,M175,$C128)</f>
        <v>10.509626471734739</v>
      </c>
      <c r="N213" s="32" cm="1">
        <f t="array" ref="N213">PriceCallAm($C124,$C125,$C126,$C127,N175,$C128)</f>
        <v>10.500088653882903</v>
      </c>
      <c r="O213" s="32" cm="1">
        <f t="array" ref="O213">PriceCallAm($C124,$C125,$C126,$C127,O175,$C128)</f>
        <v>10.487166454411545</v>
      </c>
      <c r="P213" s="32" cm="1">
        <f t="array" ref="P213">PriceCallAm($C124,$C125,$C126,$C127,P175,$C128)</f>
        <v>10.503721188872795</v>
      </c>
      <c r="Q213" s="32" cm="1">
        <f t="array" ref="Q213">PriceCallAm($C124,$C125,$C126,$C127,Q175,$C128)</f>
        <v>10.470721178709228</v>
      </c>
      <c r="R213" s="32" cm="1">
        <f t="array" ref="R213">PriceCallAm($C124,$C125,$C126,$C127,R175,$C128)</f>
        <v>10.505062510798465</v>
      </c>
      <c r="S213" s="32" cm="1">
        <f t="array" ref="S213">PriceCallAm($C124,$C125,$C126,$C127,S175,$C128)</f>
        <v>10.45816132675415</v>
      </c>
      <c r="T213" s="32" cm="1">
        <f t="array" ref="T213">PriceCallAm($C124,$C125,$C126,$C127,T175,$C128)</f>
        <v>10.505096458577668</v>
      </c>
      <c r="U213" s="32" cm="1">
        <f t="array" ref="U213">PriceCallAm($C124,$C125,$C126,$C127,U175,$C128)</f>
        <v>10.448256090578969</v>
      </c>
      <c r="V213" s="32" cm="1">
        <f t="array" ref="V213">PriceCallAm($C124,$C125,$C126,$C127,V175,$C128)</f>
        <v>10.504361046821794</v>
      </c>
      <c r="W213" s="32" cm="1">
        <f t="array" ref="W213">PriceCallAm($C124,$C125,$C126,$C127,W175,$C128)</f>
        <v>10.440244653561399</v>
      </c>
      <c r="X213" s="32" cm="1">
        <f t="array" ref="X213">PriceCallAm($C124,$C125,$C126,$C127,X175,$C128)</f>
        <v>10.50316686679253</v>
      </c>
      <c r="Y213" s="32" cm="1">
        <f t="array" ref="Y213">PriceCallAm($C124,$C125,$C126,$C127,Y175,$C128)</f>
        <v>10.43363147988298</v>
      </c>
      <c r="Z213" s="32" cm="1">
        <f t="array" ref="Z213">PriceCallAm($C124,$C125,$C126,$C127,Z175,$C128)</f>
        <v>10.501700709806729</v>
      </c>
      <c r="AA213" s="32" cm="1">
        <f t="array" ref="AA213">PriceCallAm($C124,$C125,$C126,$C127,AA175,$C128)</f>
        <v>10.428079996697914</v>
      </c>
      <c r="AB213" s="32" cm="1">
        <f t="array" ref="AB213">PriceCallAm($C124,$C125,$C126,$C127,AB175,$C128)</f>
        <v>10.500078437828847</v>
      </c>
      <c r="AC213" s="32" cm="1">
        <f t="array" ref="AC213">PriceCallAm($C124,$C125,$C126,$C127,AC175,$C128)</f>
        <v>10.423353600645678</v>
      </c>
      <c r="AD213" s="32" cm="1">
        <f t="array" ref="AD213">PriceCallAm($C124,$C125,$C126,$C127,AD175,$C128)</f>
        <v>10.49837357199373</v>
      </c>
      <c r="AE213" s="32" cm="1">
        <f t="array" ref="AE213">PriceCallAm($C124,$C125,$C126,$C127,AE175,$C128)</f>
        <v>10.419281115353401</v>
      </c>
      <c r="AF213" s="32" cm="1">
        <f t="array" ref="AF213">PriceCallAm($C124,$C125,$C126,$C127,AF175,$C128)</f>
        <v>10.496633501622927</v>
      </c>
      <c r="AG213" s="32" cm="1">
        <f t="array" ref="AG213">PriceCallAm($C124,$C125,$C126,$C127,AG175,$C128)</f>
        <v>10.415735642924723</v>
      </c>
      <c r="AH213" s="32" cm="1">
        <f t="array" ref="AH213">PriceCallAm($C124,$C125,$C126,$C127,AH175,$C128)</f>
        <v>10.494889042884822</v>
      </c>
      <c r="AI213" s="32" cm="1">
        <f t="array" ref="AI213">PriceCallAm($C124,$C125,$C126,$C127,AI175,$C128)</f>
        <v>10.412621119097263</v>
      </c>
      <c r="AJ213" s="32" cm="1">
        <f t="array" ref="AJ213">PriceCallAm($C124,$C125,$C126,$C127,AJ175,$C128)</f>
        <v>10.493160264832737</v>
      </c>
      <c r="AK213" s="32" cm="1">
        <f t="array" ref="AK213">PriceCallAm($C124,$C125,$C126,$C127,AK175,$C128)</f>
        <v>10.409863486078367</v>
      </c>
      <c r="AL213" s="32" cm="1">
        <f t="array" ref="AL213">PriceCallAm($C124,$C125,$C126,$C127,AL175,$C128)</f>
        <v>10.491460141087826</v>
      </c>
      <c r="AM213" s="32" cm="1">
        <f t="array" ref="AM213">PriceCallAm($C124,$C125,$C126,$C127,AM175,$C128)</f>
        <v>10.407404733213751</v>
      </c>
      <c r="AN213" s="32" cm="1">
        <f t="array" ref="AN213">PriceCallAm($C124,$C125,$C126,$C127,AN175,$C128)</f>
        <v>10.489796893853848</v>
      </c>
      <c r="AO213" s="32" cm="1">
        <f t="array" ref="AO213">PriceCallAm($C124,$C125,$C126,$C127,AO175,$C128)</f>
        <v>10.40519877445375</v>
      </c>
      <c r="AP213" s="32" cm="1">
        <f t="array" ref="AP213">PriceCallAm($C124,$C125,$C126,$C127,AP175,$C128)</f>
        <v>10.488175529502495</v>
      </c>
      <c r="AQ213" s="32" cm="1">
        <f t="array" ref="AQ213">PriceCallAm($C124,$C125,$C126,$C127,AQ175,$C128)</f>
        <v>10.40320853446344</v>
      </c>
      <c r="AR213" s="32" cm="1">
        <f t="array" ref="AR213">PriceCallAm($C124,$C125,$C126,$C127,AR175,$C128)</f>
        <v>10.486598862205856</v>
      </c>
      <c r="AS213" s="32" cm="1">
        <f t="array" ref="AS213">PriceCallAm($C124,$C125,$C126,$C127,AS175,$C128)</f>
        <v>10.401403849275262</v>
      </c>
      <c r="AT213" s="32" cm="1">
        <f t="array" ref="AT213">PriceCallAm($C124,$C125,$C126,$C127,AT175,$C128)</f>
        <v>10.485068206483005</v>
      </c>
      <c r="AU213" s="32" cm="1">
        <f t="array" ref="AU213">PriceCallAm($C124,$C125,$C126,$C127,AU175,$C128)</f>
        <v>10.402184321816566</v>
      </c>
      <c r="AV213" s="32" cm="1">
        <f t="array" ref="AV213">PriceCallAm($C124,$C125,$C126,$C127,AV175,$C128)</f>
        <v>10.483583851623246</v>
      </c>
      <c r="AW213" s="32" cm="1">
        <f t="array" ref="AW213">PriceCallAm($C124,$C125,$C126,$C127,AW175,$C128)</f>
        <v>10.407601913994203</v>
      </c>
      <c r="AX213" s="32" cm="1">
        <f t="array" ref="AX213">PriceCallAm($C124,$C125,$C126,$C127,AX175,$C128)</f>
        <v>10.482145390062138</v>
      </c>
      <c r="AY213" s="32" cm="1">
        <f t="array" ref="AY213">PriceCallAm($C124,$C125,$C126,$C127,AY175,$C128)</f>
        <v>10.412448632684285</v>
      </c>
      <c r="AZ213" s="32" cm="1">
        <f t="array" ref="AZ213">PriceCallAm($C124,$C125,$C126,$C127,AZ175,$C128)</f>
        <v>10.480751946550008</v>
      </c>
      <c r="BA213" s="32" cm="1">
        <f t="array" ref="BA213">PriceCallAm($C124,$C125,$C126,$C127,BA175,$C128)</f>
        <v>10.416798182753327</v>
      </c>
      <c r="BB213" s="32" cm="1">
        <f t="array" ref="BB213">PriceCallAm($C124,$C125,$C126,$C127,BB175,$C128)</f>
        <v>10.479402339077005</v>
      </c>
      <c r="BC213" s="32" cm="1">
        <f t="array" ref="BC213">PriceCallAm($C124,$C125,$C126,$C127,BC175,$C128)</f>
        <v>10.420712630737373</v>
      </c>
      <c r="BD213" s="32" cm="1">
        <f t="array" ref="BD213">PriceCallAm($C124,$C125,$C126,$C127,BD175,$C128)</f>
        <v>10.478095192341296</v>
      </c>
      <c r="BE213" s="32" cm="1">
        <f t="array" ref="BE213">PriceCallAm($C124,$C125,$C126,$C127,BE175,$C128)</f>
        <v>10.424244572459466</v>
      </c>
      <c r="BF213" s="32" cm="1">
        <f t="array" ref="BF213">PriceCallAm($C124,$C125,$C126,$C127,BF175,$C128)</f>
        <v>10.476829017891488</v>
      </c>
      <c r="BG213" s="32" cm="1">
        <f t="array" ref="BG213">PriceCallAm($C124,$C125,$C126,$C127,BG175,$C128)</f>
        <v>10.427438838363859</v>
      </c>
      <c r="BH213" s="32" cm="1">
        <f t="array" ref="BH213">PriceCallAm($C124,$C125,$C126,$C127,BH175,$C128)</f>
        <v>10.475602270676188</v>
      </c>
      <c r="BI213" s="32" cm="1">
        <f t="array" ref="BI213">PriceCallAm($C124,$C125,$C126,$C127,BI175,$C128)</f>
        <v>10.430333846960615</v>
      </c>
      <c r="BJ213" s="32" cm="1">
        <f t="array" ref="BJ213">PriceCallAm($C124,$C125,$C126,$C127,BJ175,$C128)</f>
        <v>10.474413388783749</v>
      </c>
      <c r="BK213" s="32" cm="1">
        <f t="array" ref="BK213">PriceCallAm($C124,$C125,$C126,$C127,BK175,$C128)</f>
        <v>10.432962687747606</v>
      </c>
      <c r="BL213" s="32" cm="1">
        <f t="array" ref="BL213">PriceCallAm($C124,$C125,$C126,$C127,BL175,$C128)</f>
        <v>10.473260821126072</v>
      </c>
      <c r="BM213" s="32" cm="1">
        <f t="array" ref="BM213">PriceCallAm($C124,$C125,$C126,$C127,BM175,$C128)</f>
        <v>10.435353994269157</v>
      </c>
      <c r="BN213" s="32" cm="1">
        <f t="array" ref="BN213">PriceCallAm($C124,$C125,$C126,$C127,BN175,$C128)</f>
        <v>10.472143046452585</v>
      </c>
      <c r="BO213" s="32" cm="1">
        <f t="array" ref="BO213">PriceCallAm($C124,$C125,$C126,$C127,BO175,$C128)</f>
        <v>10.437532652948336</v>
      </c>
      <c r="BP213" s="32" cm="1">
        <f t="array" ref="BP213">PriceCallAm($C124,$C125,$C126,$C127,BP175,$C128)</f>
        <v>10.471058586105135</v>
      </c>
      <c r="BQ213" s="32" cm="1">
        <f t="array" ref="BQ213">PriceCallAm($C124,$C125,$C126,$C127,BQ175,$C128)</f>
        <v>10.439520382395251</v>
      </c>
      <c r="BR213" s="32" cm="1">
        <f t="array" ref="BR213">PriceCallAm($C124,$C125,$C126,$C127,BR175,$C128)</f>
        <v>10.470006012256082</v>
      </c>
      <c r="BS213" s="32" cm="1">
        <f t="array" ref="BS213">PriceCallAm($C124,$C125,$C126,$C127,BS175,$C128)</f>
        <v>10.441336209789586</v>
      </c>
      <c r="BT213" s="32" cm="1">
        <f t="array" ref="BT213">PriceCallAm($C124,$C125,$C126,$C127,BT175,$C128)</f>
        <v>10.468983952877764</v>
      </c>
      <c r="BU213" s="32" cm="1">
        <f t="array" ref="BU213">PriceCallAm($C124,$C125,$C126,$C127,BU175,$C128)</f>
        <v>10.442996864903705</v>
      </c>
      <c r="BV213" s="32" cm="1">
        <f t="array" ref="BV213">PriceCallAm($C124,$C125,$C126,$C127,BV175,$C128)</f>
        <v>10.467991094369294</v>
      </c>
      <c r="BW213" s="32" cm="1">
        <f t="array" ref="BW213">PriceCallAm($C124,$C125,$C126,$C127,BW175,$C128)</f>
        <v>10.44451710778201</v>
      </c>
      <c r="BX213" s="32" cm="1">
        <f t="array" ref="BX213">PriceCallAm($C124,$C125,$C126,$C127,BX175,$C128)</f>
        <v>10.467026182505009</v>
      </c>
      <c r="BY213" s="32" cm="1">
        <f t="array" ref="BY213">PriceCallAm($C124,$C125,$C126,$C127,BY175,$C128)</f>
        <v>10.445910002652584</v>
      </c>
      <c r="BZ213" s="32" cm="1">
        <f t="array" ref="BZ213">PriceCallAm($C124,$C125,$C126,$C127,BZ175,$C128)</f>
        <v>10.466088022186048</v>
      </c>
      <c r="CA213" s="32" cm="1">
        <f t="array" ref="CA213">PriceCallAm($C124,$C125,$C126,$C127,CA175,$C128)</f>
        <v>10.44718714800986</v>
      </c>
      <c r="CB213" s="32" cm="1">
        <f t="array" ref="CB213">PriceCallAm($C124,$C125,$C126,$C127,CB175,$C128)</f>
        <v>10.465175476370447</v>
      </c>
      <c r="CC213" s="32" cm="1">
        <f t="array" ref="CC213">PriceCallAm($C124,$C125,$C126,$C127,CC175,$C128)</f>
        <v>10.448358870765611</v>
      </c>
      <c r="CD213" s="32" cm="1">
        <f t="array" ref="CD213">PriceCallAm($C124,$C125,$C126,$C127,CD175,$C128)</f>
        <v>10.46428746443109</v>
      </c>
      <c r="CE213" s="32" cm="1">
        <f t="array" ref="CE213">PriceCallAm($C124,$C125,$C126,$C127,CE175,$C128)</f>
        <v>10.449434390793723</v>
      </c>
      <c r="CF213" s="32" cm="1">
        <f t="array" ref="CF213">PriceCallAm($C124,$C125,$C126,$C127,CF175,$C128)</f>
        <v>10.463422960140662</v>
      </c>
      <c r="CG213" s="32" cm="1">
        <f t="array" ref="CG213">PriceCallAm($C124,$C125,$C126,$C127,CG175,$C128)</f>
        <v>10.450421960959954</v>
      </c>
      <c r="CH213" s="32" cm="1">
        <f t="array" ref="CH213">PriceCallAm($C124,$C125,$C126,$C127,CH175,$C128)</f>
        <v>10.46258098942938</v>
      </c>
      <c r="CI213" s="32" cm="1">
        <f t="array" ref="CI213">PriceCallAm($C124,$C125,$C126,$C127,CI175,$C128)</f>
        <v>10.451328986753689</v>
      </c>
      <c r="CJ213" s="32" cm="1">
        <f t="array" ref="CJ213">PriceCallAm($C124,$C125,$C126,$C127,CJ175,$C128)</f>
        <v>10.461760628011138</v>
      </c>
      <c r="CK213" s="32" cm="1">
        <f t="array" ref="CK213">PriceCallAm($C124,$C125,$C126,$C127,CK175,$C128)</f>
        <v>10.45216212887575</v>
      </c>
      <c r="CL213" s="32" cm="1">
        <f t="array" ref="CL213">PriceCallAm($C124,$C125,$C126,$C127,CL175,$C128)</f>
        <v>10.460960998960569</v>
      </c>
      <c r="CM213" s="32" cm="1">
        <f t="array" ref="CM213">PriceCallAm($C124,$C125,$C126,$C127,CM175,$C128)</f>
        <v>10.452927391524129</v>
      </c>
      <c r="CN213" s="32" cm="1">
        <f t="array" ref="CN213">PriceCallAm($C124,$C125,$C126,$C127,CN175,$C128)</f>
        <v>10.460181270289926</v>
      </c>
      <c r="CO213" s="32" cm="1">
        <f t="array" ref="CO213">PriceCallAm($C124,$C125,$C126,$C127,CO175,$C128)</f>
        <v>10.4536301986222</v>
      </c>
      <c r="CP213" s="32" cm="1">
        <f t="array" ref="CP213">PriceCallAm($C124,$C125,$C126,$C127,CP175,$C128)</f>
        <v>10.459420652566285</v>
      </c>
      <c r="CQ213" s="32" cm="1">
        <f t="array" ref="CQ213">PriceCallAm($C124,$C125,$C126,$C127,CQ175,$C128)</f>
        <v>10.454275459853855</v>
      </c>
      <c r="CR213" s="32" cm="1">
        <f t="array" ref="CR213">PriceCallAm($C124,$C125,$C126,$C127,CR175,$C128)</f>
        <v>10.458678396593111</v>
      </c>
      <c r="CS213" s="32" cm="1">
        <f t="array" ref="CS213">PriceCallAm($C124,$C125,$C126,$C127,CS175,$C128)</f>
        <v>10.45486762804282</v>
      </c>
      <c r="CT213" s="32" cm="1">
        <f t="array" ref="CT213">PriceCallAm($C124,$C125,$C126,$C127,CT175,$C128)</f>
        <v>10.457953791176271</v>
      </c>
      <c r="CU213" s="32" cm="1">
        <f t="array" ref="CU213">PriceCallAm($C124,$C125,$C126,$C127,CU175,$C128)</f>
        <v>10.455410749157881</v>
      </c>
      <c r="CV213" s="32" cm="1">
        <f t="array" ref="CV213">PriceCallAm($C124,$C125,$C126,$C127,CV175,$C128)</f>
        <v>10.457246160986495</v>
      </c>
      <c r="CW213" s="32" cm="1">
        <f t="array" ref="CW213">PriceCallAm($C124,$C125,$C126,$C127,CW175,$C128)</f>
        <v>10.45590850601412</v>
      </c>
      <c r="CX213" s="32" cm="1">
        <f t="array" ref="CX213">PriceCallAm($C124,$C125,$C126,$C127,CX175,$C128)</f>
        <v>10.456554864518345</v>
      </c>
      <c r="CY213" s="32"/>
      <c r="CZ213" s="32"/>
      <c r="DA213" s="32"/>
      <c r="DB213" s="32"/>
      <c r="DC213" s="32"/>
      <c r="DD213" s="32"/>
      <c r="DE213" s="32"/>
      <c r="DF213" s="32"/>
      <c r="DG213" s="32"/>
    </row>
    <row r="214" spans="3:111" ht="20.350000000000001" customHeight="1" x14ac:dyDescent="0.45">
      <c r="C214" s="47" t="s">
        <v>49</v>
      </c>
      <c r="D214" s="32" cm="1">
        <f t="array" ref="D214">DeltaCallAm($C124,$C125,$C126,$C127,D175,$C128)</f>
        <v>0.62180345468609766</v>
      </c>
      <c r="E214" s="32" cm="1">
        <f t="array" ref="E214">DeltaCallAm($C124,$C125,$C126,$C127,E175,$C128)</f>
        <v>0.63488250628457576</v>
      </c>
      <c r="F214" s="32" cm="1">
        <f t="array" ref="F214">DeltaCallAm($C124,$C125,$C126,$C127,F175,$C128)</f>
        <v>0.62900495715893234</v>
      </c>
      <c r="G214" s="32" cm="1">
        <f t="array" ref="G214">DeltaCallAm($C124,$C125,$C126,$C127,G175,$C128)</f>
        <v>0.63592610109484449</v>
      </c>
      <c r="H214" s="32" cm="1">
        <f t="array" ref="H214">DeltaCallAm($C124,$C125,$C126,$C127,H175,$C128)</f>
        <v>0.63160203488418842</v>
      </c>
      <c r="I214" s="32" cm="1">
        <f t="array" ref="I214">DeltaCallAm($C124,$C125,$C126,$C127,I175,$C128)</f>
        <v>0.63629340998603423</v>
      </c>
      <c r="J214" s="32" cm="1">
        <f t="array" ref="J214">DeltaCallAm($C124,$C125,$C126,$C127,J175,$C128)</f>
        <v>0.63293405467420694</v>
      </c>
      <c r="K214" s="32" cm="1">
        <f t="array" ref="K214">DeltaCallAm($C124,$C125,$C126,$C127,K175,$C128)</f>
        <v>0.63647934061619327</v>
      </c>
      <c r="L214" s="32" cm="1">
        <f t="array" ref="L214">DeltaCallAm($C124,$C125,$C126,$C127,L175,$C128)</f>
        <v>0.63374316741690984</v>
      </c>
      <c r="M214" s="32" cm="1">
        <f t="array" ref="M214">DeltaCallAm($C124,$C125,$C126,$C127,M175,$C128)</f>
        <v>0.6365914941579035</v>
      </c>
      <c r="N214" s="32" cm="1">
        <f t="array" ref="N214">DeltaCallAm($C124,$C125,$C126,$C127,N175,$C128)</f>
        <v>0.63428647282397843</v>
      </c>
      <c r="O214" s="32" cm="1">
        <f t="array" ref="O214">DeltaCallAm($C124,$C125,$C126,$C127,O175,$C128)</f>
        <v>0.63666650144158921</v>
      </c>
      <c r="P214" s="32" cm="1">
        <f t="array" ref="P214">DeltaCallAm($C124,$C125,$C126,$C127,P175,$C128)</f>
        <v>0.63467637798699894</v>
      </c>
      <c r="Q214" s="32" cm="1">
        <f t="array" ref="Q214">DeltaCallAm($C124,$C125,$C126,$C127,Q175,$C128)</f>
        <v>0.63672019803988467</v>
      </c>
      <c r="R214" s="32" cm="1">
        <f t="array" ref="R214">DeltaCallAm($C124,$C125,$C126,$C127,R175,$C128)</f>
        <v>0.63496977578479263</v>
      </c>
      <c r="S214" s="32"/>
      <c r="T214" s="32"/>
      <c r="U214" s="32"/>
      <c r="V214" s="32"/>
      <c r="W214" s="32"/>
      <c r="X214" s="32"/>
      <c r="Y214" s="32"/>
      <c r="Z214" s="32"/>
      <c r="AA214" s="32"/>
      <c r="AB214" s="32"/>
      <c r="AC214" s="32"/>
      <c r="AD214" s="32"/>
      <c r="AE214" s="32"/>
      <c r="AF214" s="32"/>
      <c r="AG214" s="32"/>
      <c r="AH214" s="32"/>
      <c r="AI214" s="32"/>
      <c r="AJ214" s="32"/>
      <c r="AK214" s="32"/>
      <c r="AL214" s="32"/>
      <c r="AM214" s="32"/>
      <c r="AN214" s="32"/>
      <c r="AO214" s="32"/>
      <c r="AP214" s="32"/>
      <c r="AQ214" s="32"/>
      <c r="AR214" s="32"/>
      <c r="AS214" s="32"/>
      <c r="AT214" s="32"/>
      <c r="AU214" s="32"/>
      <c r="AV214" s="32"/>
      <c r="AW214" s="32"/>
      <c r="AX214" s="32"/>
      <c r="AY214" s="32"/>
      <c r="AZ214" s="32"/>
      <c r="BA214" s="32"/>
      <c r="BB214" s="32"/>
      <c r="BC214" s="32"/>
      <c r="BD214" s="32"/>
      <c r="BE214" s="32"/>
      <c r="BF214" s="32"/>
      <c r="BG214" s="32"/>
      <c r="BH214" s="32"/>
      <c r="BI214" s="32"/>
      <c r="BJ214" s="32"/>
      <c r="BK214" s="32"/>
      <c r="BL214" s="32"/>
      <c r="BM214" s="32"/>
      <c r="BN214" s="32"/>
      <c r="BO214" s="32"/>
      <c r="BP214" s="32"/>
      <c r="BQ214" s="32"/>
      <c r="BR214" s="32"/>
      <c r="BS214" s="32"/>
      <c r="BT214" s="32"/>
      <c r="BU214" s="32"/>
      <c r="BV214" s="32"/>
      <c r="BW214" s="32"/>
      <c r="BX214" s="32"/>
      <c r="BY214" s="32"/>
      <c r="BZ214" s="32"/>
      <c r="CA214" s="32"/>
      <c r="CB214" s="32"/>
      <c r="CC214" s="32"/>
      <c r="CD214" s="32"/>
      <c r="CE214" s="32"/>
      <c r="CF214" s="32"/>
      <c r="CG214" s="32"/>
      <c r="CH214" s="32"/>
      <c r="CI214" s="32"/>
      <c r="CJ214" s="32"/>
      <c r="CK214" s="32"/>
      <c r="CL214" s="32"/>
      <c r="CM214" s="32"/>
      <c r="CN214" s="32"/>
      <c r="CO214" s="32"/>
      <c r="CP214" s="32"/>
      <c r="CQ214" s="32"/>
      <c r="CR214" s="32"/>
      <c r="CS214" s="32"/>
      <c r="CT214" s="32"/>
      <c r="CU214" s="32"/>
      <c r="CV214" s="32"/>
      <c r="CW214" s="32"/>
      <c r="CX214" s="32"/>
      <c r="CY214" s="32"/>
      <c r="CZ214" s="32"/>
      <c r="DA214" s="32"/>
      <c r="DB214" s="32"/>
      <c r="DC214" s="32"/>
      <c r="DD214" s="32"/>
      <c r="DE214" s="32"/>
      <c r="DF214" s="32"/>
      <c r="DG214" s="32"/>
    </row>
    <row r="215" spans="3:111" ht="20.350000000000001" customHeight="1" x14ac:dyDescent="0.45">
      <c r="C215" s="47" t="s">
        <v>50</v>
      </c>
      <c r="D215" s="32">
        <f>LOG(ABS(D213-$CU211))</f>
        <v>-0.38303350007297976</v>
      </c>
      <c r="E215" s="32">
        <f t="shared" ref="E215:BP215" si="33">LOG(ABS(E213-$CU211))</f>
        <v>-0.34679125845832098</v>
      </c>
      <c r="F215" s="32">
        <f t="shared" si="33"/>
        <v>-1.0062581830175319</v>
      </c>
      <c r="G215" s="32">
        <f t="shared" si="33"/>
        <v>-0.628820070509856</v>
      </c>
      <c r="H215" s="32">
        <f t="shared" si="33"/>
        <v>-1.9991592288273088</v>
      </c>
      <c r="I215" s="32">
        <f t="shared" si="33"/>
        <v>-0.84546962256751035</v>
      </c>
      <c r="J215" s="32">
        <f t="shared" si="33"/>
        <v>-1.5960288604227888</v>
      </c>
      <c r="K215" s="32">
        <f t="shared" si="33"/>
        <v>-1.0383601030971399</v>
      </c>
      <c r="L215" s="32">
        <f t="shared" si="33"/>
        <v>-1.3804239799709219</v>
      </c>
      <c r="M215" s="32">
        <f t="shared" si="33"/>
        <v>-1.2288323228095843</v>
      </c>
      <c r="N215" s="32">
        <f t="shared" si="33"/>
        <v>-1.3053502184434598</v>
      </c>
      <c r="O215" s="32">
        <f t="shared" si="33"/>
        <v>-1.4367220811032357</v>
      </c>
      <c r="P215" s="32">
        <f t="shared" si="33"/>
        <v>-1.2745979283374114</v>
      </c>
      <c r="Q215" s="32">
        <f t="shared" si="33"/>
        <v>-1.6959921492410392</v>
      </c>
      <c r="R215" s="32">
        <f t="shared" si="33"/>
        <v>-1.2637713621644822</v>
      </c>
      <c r="S215" s="32">
        <f t="shared" si="33"/>
        <v>-2.1204594649405952</v>
      </c>
      <c r="T215" s="32">
        <f t="shared" si="33"/>
        <v>-1.263500821990359</v>
      </c>
      <c r="U215" s="32">
        <f t="shared" si="33"/>
        <v>-2.6331137424349387</v>
      </c>
      <c r="V215" s="32">
        <f t="shared" si="33"/>
        <v>-1.2693995958892423</v>
      </c>
      <c r="W215" s="32">
        <f t="shared" si="33"/>
        <v>-1.9855248829168284</v>
      </c>
      <c r="X215" s="32">
        <f t="shared" si="33"/>
        <v>-1.2791522066511163</v>
      </c>
      <c r="Y215" s="32">
        <f t="shared" si="33"/>
        <v>-1.7707766915972742</v>
      </c>
      <c r="Z215" s="32">
        <f t="shared" si="33"/>
        <v>-1.2914334731230919</v>
      </c>
      <c r="AA215" s="32">
        <f t="shared" si="33"/>
        <v>-1.6477484733912771</v>
      </c>
      <c r="AB215" s="32">
        <f t="shared" si="33"/>
        <v>-1.3054398503278859</v>
      </c>
      <c r="AC215" s="32">
        <f t="shared" si="33"/>
        <v>-1.5649528125739729</v>
      </c>
      <c r="AD215" s="32">
        <f t="shared" si="33"/>
        <v>-1.320662971222518</v>
      </c>
      <c r="AE215" s="32">
        <f t="shared" si="33"/>
        <v>-1.5044215746970622</v>
      </c>
      <c r="AF215" s="32">
        <f t="shared" si="33"/>
        <v>-1.3367710309391738</v>
      </c>
      <c r="AG215" s="32">
        <f t="shared" si="33"/>
        <v>-1.4578230235145766</v>
      </c>
      <c r="AH215" s="32">
        <f t="shared" si="33"/>
        <v>-1.3535426451582071</v>
      </c>
      <c r="AI215" s="32">
        <f t="shared" si="33"/>
        <v>-1.4206457317481449</v>
      </c>
      <c r="AJ215" s="32">
        <f t="shared" si="33"/>
        <v>-1.3708280775353148</v>
      </c>
      <c r="AK215" s="32">
        <f t="shared" si="33"/>
        <v>-1.3901913123058394</v>
      </c>
      <c r="AL215" s="32">
        <f t="shared" si="33"/>
        <v>-1.38852556515689</v>
      </c>
      <c r="AM215" s="32">
        <f t="shared" si="33"/>
        <v>-1.3647290395125227</v>
      </c>
      <c r="AN215" s="32">
        <f t="shared" si="33"/>
        <v>-1.4065663680771066</v>
      </c>
      <c r="AO215" s="32">
        <f t="shared" si="33"/>
        <v>-1.3430895957512923</v>
      </c>
      <c r="AP215" s="32">
        <f t="shared" si="33"/>
        <v>-1.4249050610961935</v>
      </c>
      <c r="AQ215" s="32">
        <f t="shared" si="33"/>
        <v>-1.3244504312190357</v>
      </c>
      <c r="AR215" s="32">
        <f t="shared" si="33"/>
        <v>-1.4435130836304542</v>
      </c>
      <c r="AS215" s="32">
        <f t="shared" si="33"/>
        <v>-1.3082139225038794</v>
      </c>
      <c r="AT215" s="32">
        <f t="shared" si="33"/>
        <v>-1.462374375255606</v>
      </c>
      <c r="AU215" s="32">
        <f t="shared" si="33"/>
        <v>-1.3151613648665115</v>
      </c>
      <c r="AV215" s="32">
        <f t="shared" si="33"/>
        <v>-1.4814823826151662</v>
      </c>
      <c r="AW215" s="32">
        <f t="shared" si="33"/>
        <v>-1.3667168338546485</v>
      </c>
      <c r="AX215" s="32">
        <f t="shared" si="33"/>
        <v>-1.5008379905377802</v>
      </c>
      <c r="AY215" s="32">
        <f t="shared" si="33"/>
        <v>-1.4186769382560249</v>
      </c>
      <c r="AZ215" s="32">
        <f t="shared" si="33"/>
        <v>-1.5204480913355598</v>
      </c>
      <c r="BA215" s="32">
        <f t="shared" si="33"/>
        <v>-1.471271070751228</v>
      </c>
      <c r="BB215" s="32">
        <f t="shared" si="33"/>
        <v>-1.5403246058849773</v>
      </c>
      <c r="BC215" s="32">
        <f t="shared" si="33"/>
        <v>-1.5247510894376783</v>
      </c>
      <c r="BD215" s="32">
        <f t="shared" si="33"/>
        <v>-1.5604838333116788</v>
      </c>
      <c r="BE215" s="32">
        <f t="shared" si="33"/>
        <v>-1.5794007222248283</v>
      </c>
      <c r="BF215" s="32">
        <f t="shared" si="33"/>
        <v>-1.5809460475489421</v>
      </c>
      <c r="BG215" s="32">
        <f t="shared" si="33"/>
        <v>-1.6355478094989739</v>
      </c>
      <c r="BH215" s="32">
        <f t="shared" si="33"/>
        <v>-1.6017352866906658</v>
      </c>
      <c r="BI215" s="32">
        <f t="shared" si="33"/>
        <v>-1.6935808654911688</v>
      </c>
      <c r="BJ215" s="32">
        <f t="shared" si="33"/>
        <v>-1.6228793001085684</v>
      </c>
      <c r="BK215" s="32">
        <f t="shared" si="33"/>
        <v>-1.7539722970088119</v>
      </c>
      <c r="BL215" s="32">
        <f t="shared" si="33"/>
        <v>-1.6444096324257422</v>
      </c>
      <c r="BM215" s="32">
        <f t="shared" si="33"/>
        <v>-1.8173121328501134</v>
      </c>
      <c r="BN215" s="32">
        <f t="shared" si="33"/>
        <v>-1.6663618337318624</v>
      </c>
      <c r="BO215" s="32">
        <f t="shared" si="33"/>
        <v>-1.8843588978585704</v>
      </c>
      <c r="BP215" s="32">
        <f t="shared" si="33"/>
        <v>-1.6887757943201369</v>
      </c>
      <c r="BQ215" s="32">
        <f t="shared" ref="BQ215:CX215" si="34">LOG(ABS(BQ213-$CU211))</f>
        <v>-1.9561196371720959</v>
      </c>
      <c r="BR215" s="32">
        <f t="shared" si="34"/>
        <v>-1.7116962099279138</v>
      </c>
      <c r="BS215" s="32">
        <f t="shared" si="34"/>
        <v>-2.0339821224199133</v>
      </c>
      <c r="BT215" s="32">
        <f t="shared" si="34"/>
        <v>-1.7351731916202933</v>
      </c>
      <c r="BU215" s="32">
        <f t="shared" si="34"/>
        <v>-2.1199466720088918</v>
      </c>
      <c r="BV215" s="32">
        <f t="shared" si="34"/>
        <v>-1.7592630426975386</v>
      </c>
      <c r="BW215" s="32">
        <f t="shared" si="34"/>
        <v>-2.2170643463858908</v>
      </c>
      <c r="BX215" s="32">
        <f t="shared" si="34"/>
        <v>-1.7840292356195218</v>
      </c>
      <c r="BY215" s="32">
        <f t="shared" si="34"/>
        <v>-2.3303512915287965</v>
      </c>
      <c r="BZ215" s="32">
        <f t="shared" si="34"/>
        <v>-1.8095436351662133</v>
      </c>
      <c r="CA215" s="32">
        <f t="shared" si="34"/>
        <v>-2.4689780764775238</v>
      </c>
      <c r="CB215" s="32">
        <f t="shared" si="34"/>
        <v>-1.8358880307229861</v>
      </c>
      <c r="CC215" s="32">
        <f t="shared" si="34"/>
        <v>-2.6527282679945228</v>
      </c>
      <c r="CD215" s="32">
        <f t="shared" si="34"/>
        <v>-1.8631560649110412</v>
      </c>
      <c r="CE215" s="32">
        <f t="shared" si="34"/>
        <v>-2.9396114149510946</v>
      </c>
      <c r="CF215" s="32">
        <f t="shared" si="34"/>
        <v>-1.8914556782967133</v>
      </c>
      <c r="CG215" s="32">
        <f t="shared" si="34"/>
        <v>-3.7915284761633217</v>
      </c>
      <c r="CH215" s="32">
        <f t="shared" si="34"/>
        <v>-1.9209122370761589</v>
      </c>
      <c r="CI215" s="32">
        <f t="shared" si="34"/>
        <v>-3.1276021237983582</v>
      </c>
      <c r="CJ215" s="32">
        <f t="shared" si="34"/>
        <v>-1.9516725799108672</v>
      </c>
      <c r="CK215" s="32">
        <f t="shared" si="34"/>
        <v>-2.8017398168172001</v>
      </c>
      <c r="CL215" s="32">
        <f t="shared" si="34"/>
        <v>-1.9839103223988355</v>
      </c>
      <c r="CM215" s="32">
        <f t="shared" si="34"/>
        <v>-2.6300758667530073</v>
      </c>
      <c r="CN215" s="32">
        <f t="shared" si="34"/>
        <v>-2.01783291492371</v>
      </c>
      <c r="CO215" s="32">
        <f t="shared" si="34"/>
        <v>-2.5161807937109848</v>
      </c>
      <c r="CP215" s="32">
        <f t="shared" si="34"/>
        <v>-2.0536911947129179</v>
      </c>
      <c r="CQ215" s="32">
        <f t="shared" si="34"/>
        <v>-2.4327515215636879</v>
      </c>
      <c r="CR215" s="32">
        <f t="shared" si="34"/>
        <v>-2.0917925674987132</v>
      </c>
      <c r="CS215" s="32">
        <f t="shared" si="34"/>
        <v>-2.368144875295954</v>
      </c>
      <c r="CT215" s="32">
        <f t="shared" si="34"/>
        <v>-2.1325196077932702</v>
      </c>
      <c r="CU215" s="32">
        <f t="shared" si="34"/>
        <v>-2.316306778933201</v>
      </c>
      <c r="CV215" s="32">
        <f t="shared" si="34"/>
        <v>-2.1763569895230512</v>
      </c>
      <c r="CW215" s="32">
        <f t="shared" si="34"/>
        <v>-2.2736857847101968</v>
      </c>
      <c r="CX215" s="32">
        <f t="shared" si="34"/>
        <v>-2.2239316668175797</v>
      </c>
      <c r="CY215" s="32"/>
      <c r="CZ215" s="32"/>
      <c r="DA215" s="32"/>
      <c r="DB215" s="32"/>
      <c r="DC215" s="32"/>
      <c r="DD215" s="32"/>
      <c r="DE215" s="32"/>
      <c r="DF215" s="32"/>
      <c r="DG215" s="32"/>
    </row>
    <row r="216" spans="3:111" ht="20.350000000000001" customHeight="1" x14ac:dyDescent="0.45">
      <c r="C216" s="47" t="s">
        <v>51</v>
      </c>
      <c r="D216" s="32">
        <f>LOG(ABS(D214-$CX211))</f>
        <v>-1.8231220348953407</v>
      </c>
      <c r="E216" s="32">
        <f t="shared" ref="E216:R216" si="35">LOG(ABS(E214-$CX211))</f>
        <v>-2.7103787461018909</v>
      </c>
      <c r="F216" s="32">
        <f t="shared" si="35"/>
        <v>-2.1064771369442052</v>
      </c>
      <c r="G216" s="32">
        <f t="shared" si="35"/>
        <v>-3.0435673832519732</v>
      </c>
      <c r="H216" s="32">
        <f t="shared" si="35"/>
        <v>-2.2816132282466115</v>
      </c>
      <c r="I216" s="32">
        <f t="shared" si="35"/>
        <v>-3.2698306979324685</v>
      </c>
      <c r="J216" s="32">
        <f t="shared" si="35"/>
        <v>-2.4093145637435893</v>
      </c>
      <c r="K216" s="32">
        <f t="shared" si="35"/>
        <v>-3.4543087963182768</v>
      </c>
      <c r="L216" s="32">
        <f t="shared" si="35"/>
        <v>-2.5103953182736536</v>
      </c>
      <c r="M216" s="32">
        <f t="shared" si="35"/>
        <v>-3.6213168708637595</v>
      </c>
      <c r="N216" s="32">
        <f t="shared" si="35"/>
        <v>-2.5944524471044521</v>
      </c>
      <c r="O216" s="32">
        <f t="shared" si="35"/>
        <v>-3.7847598166168992</v>
      </c>
      <c r="P216" s="32">
        <f t="shared" si="35"/>
        <v>-2.6666992236066771</v>
      </c>
      <c r="Q216" s="32">
        <f t="shared" si="35"/>
        <v>-3.9568219501154958</v>
      </c>
      <c r="R216" s="32">
        <f t="shared" si="35"/>
        <v>-2.7302827074110554</v>
      </c>
      <c r="S216" s="32"/>
      <c r="T216" s="32"/>
      <c r="U216" s="32"/>
      <c r="V216" s="32"/>
      <c r="W216" s="32"/>
      <c r="X216" s="32"/>
      <c r="Y216" s="32"/>
      <c r="Z216" s="32"/>
      <c r="AA216" s="32"/>
      <c r="AB216" s="32"/>
      <c r="AC216" s="32"/>
      <c r="AD216" s="32"/>
      <c r="AE216" s="32"/>
      <c r="AF216" s="32"/>
      <c r="AG216" s="32"/>
      <c r="AH216" s="32"/>
      <c r="AI216" s="32"/>
      <c r="AJ216" s="32"/>
      <c r="AK216" s="32"/>
      <c r="AL216" s="32"/>
      <c r="AM216" s="32"/>
      <c r="AN216" s="32"/>
      <c r="AO216" s="32"/>
      <c r="AP216" s="32"/>
      <c r="AQ216" s="32"/>
      <c r="AR216" s="32"/>
      <c r="AS216" s="32"/>
      <c r="AT216" s="32"/>
      <c r="AU216" s="32"/>
      <c r="AV216" s="32"/>
      <c r="AW216" s="32"/>
      <c r="AX216" s="32"/>
      <c r="AY216" s="32"/>
      <c r="AZ216" s="32"/>
      <c r="BA216" s="32"/>
      <c r="BB216" s="32"/>
      <c r="BC216" s="32"/>
      <c r="BD216" s="32"/>
      <c r="BE216" s="32"/>
      <c r="BF216" s="32"/>
      <c r="BG216" s="32"/>
      <c r="BH216" s="32"/>
      <c r="BI216" s="32"/>
      <c r="BJ216" s="32"/>
      <c r="BK216" s="32"/>
      <c r="BL216" s="32"/>
      <c r="BM216" s="32"/>
      <c r="BN216" s="32"/>
      <c r="BO216" s="32"/>
      <c r="BP216" s="32"/>
      <c r="BQ216" s="32"/>
      <c r="BR216" s="32"/>
      <c r="BS216" s="32"/>
      <c r="BT216" s="32"/>
      <c r="BU216" s="32"/>
      <c r="BV216" s="32"/>
      <c r="BW216" s="32"/>
      <c r="BX216" s="32"/>
      <c r="BY216" s="32"/>
      <c r="BZ216" s="32"/>
      <c r="CA216" s="32"/>
      <c r="CB216" s="32"/>
      <c r="CC216" s="32"/>
      <c r="CD216" s="32"/>
      <c r="CE216" s="32"/>
      <c r="CF216" s="32"/>
      <c r="CG216" s="32"/>
      <c r="CH216" s="32"/>
      <c r="CI216" s="32"/>
      <c r="CJ216" s="32"/>
      <c r="CK216" s="32"/>
      <c r="CL216" s="32"/>
      <c r="CM216" s="32"/>
      <c r="CN216" s="32"/>
      <c r="CO216" s="32"/>
      <c r="CP216" s="32"/>
      <c r="CQ216" s="32"/>
      <c r="CR216" s="32"/>
      <c r="CS216" s="32"/>
      <c r="CT216" s="32"/>
      <c r="CU216" s="32"/>
      <c r="CV216" s="32"/>
      <c r="CW216" s="32"/>
      <c r="CX216" s="32"/>
      <c r="CY216" s="32"/>
      <c r="CZ216" s="32"/>
      <c r="DA216" s="32"/>
      <c r="DB216" s="32"/>
      <c r="DC216" s="32"/>
      <c r="DD216" s="32"/>
      <c r="DE216" s="32"/>
      <c r="DF216" s="32"/>
      <c r="DG216" s="32"/>
    </row>
    <row r="217" spans="3:111" ht="20.350000000000001" customHeight="1" x14ac:dyDescent="0.45">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2"/>
      <c r="AB217" s="32"/>
      <c r="AC217" s="32"/>
      <c r="AD217" s="32"/>
      <c r="AE217" s="32"/>
      <c r="AF217" s="32"/>
      <c r="AG217" s="32"/>
      <c r="AH217" s="32"/>
      <c r="AI217" s="32"/>
      <c r="AJ217" s="32"/>
      <c r="AK217" s="32"/>
      <c r="AL217" s="32"/>
      <c r="AM217" s="32"/>
      <c r="AN217" s="32"/>
      <c r="AO217" s="32"/>
      <c r="AP217" s="32"/>
      <c r="AQ217" s="32"/>
      <c r="AR217" s="32"/>
      <c r="AS217" s="32"/>
      <c r="AT217" s="32"/>
      <c r="AU217" s="32"/>
      <c r="AV217" s="32"/>
      <c r="AW217" s="32"/>
      <c r="AX217" s="32"/>
      <c r="AY217" s="32"/>
      <c r="AZ217" s="32"/>
      <c r="BA217" s="32"/>
      <c r="BB217" s="32"/>
      <c r="BC217" s="32"/>
      <c r="BD217" s="32"/>
      <c r="BE217" s="32"/>
      <c r="BF217" s="32"/>
      <c r="BG217" s="32"/>
      <c r="BH217" s="32"/>
      <c r="BI217" s="32"/>
      <c r="BJ217" s="32"/>
      <c r="BK217" s="32"/>
      <c r="BL217" s="32"/>
      <c r="BM217" s="32"/>
      <c r="BN217" s="32"/>
      <c r="BO217" s="32"/>
      <c r="BP217" s="32"/>
      <c r="BQ217" s="32"/>
      <c r="BR217" s="32"/>
      <c r="BS217" s="32"/>
      <c r="BT217" s="32"/>
      <c r="BU217" s="32"/>
      <c r="BV217" s="32"/>
      <c r="BW217" s="32"/>
      <c r="BX217" s="32"/>
      <c r="BY217" s="32"/>
      <c r="BZ217" s="32"/>
      <c r="CA217" s="32"/>
      <c r="CB217" s="32"/>
      <c r="CC217" s="32"/>
      <c r="CD217" s="32"/>
      <c r="CE217" s="32"/>
      <c r="CF217" s="32"/>
      <c r="CG217" s="32"/>
      <c r="CH217" s="32"/>
      <c r="CI217" s="32"/>
      <c r="CJ217" s="32"/>
      <c r="CK217" s="32"/>
      <c r="CL217" s="32"/>
      <c r="CM217" s="32"/>
      <c r="CN217" s="32"/>
      <c r="CO217" s="32"/>
      <c r="CP217" s="32"/>
      <c r="CQ217" s="32"/>
      <c r="CR217" s="32"/>
      <c r="CS217" s="32"/>
      <c r="CT217" s="32"/>
      <c r="CU217" s="32"/>
      <c r="CV217" s="32"/>
      <c r="CW217" s="32"/>
      <c r="CX217" s="32"/>
      <c r="CY217" s="32"/>
      <c r="CZ217" s="32"/>
      <c r="DA217" s="32"/>
      <c r="DB217" s="32"/>
      <c r="DC217" s="32"/>
      <c r="DD217" s="32"/>
      <c r="DE217" s="32"/>
      <c r="DF217" s="32"/>
      <c r="DG217" s="32"/>
    </row>
    <row r="218" spans="3:111" ht="20.350000000000001" customHeight="1" x14ac:dyDescent="0.45">
      <c r="C218" s="47" t="s">
        <v>57</v>
      </c>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2"/>
      <c r="AB218" s="32"/>
      <c r="AC218" s="32"/>
      <c r="AD218" s="32"/>
      <c r="AE218" s="32"/>
      <c r="AF218" s="32"/>
      <c r="AG218" s="32"/>
      <c r="AH218" s="32"/>
      <c r="AI218" s="32"/>
      <c r="AJ218" s="32"/>
      <c r="AK218" s="32"/>
      <c r="AL218" s="32"/>
      <c r="AM218" s="32"/>
      <c r="AN218" s="32"/>
      <c r="AO218" s="32"/>
      <c r="AP218" s="32"/>
      <c r="AQ218" s="32"/>
      <c r="AR218" s="32"/>
      <c r="AS218" s="32"/>
      <c r="AT218" s="32"/>
      <c r="AU218" s="32"/>
      <c r="AV218" s="32"/>
      <c r="AW218" s="32"/>
      <c r="AX218" s="32"/>
      <c r="AY218" s="32"/>
      <c r="AZ218" s="32"/>
      <c r="BA218" s="32"/>
      <c r="BB218" s="32"/>
      <c r="BC218" s="32"/>
      <c r="BD218" s="32"/>
      <c r="BE218" s="32"/>
      <c r="BF218" s="32"/>
      <c r="BG218" s="32"/>
      <c r="BH218" s="32"/>
      <c r="BI218" s="32"/>
      <c r="BJ218" s="32"/>
      <c r="BK218" s="32"/>
      <c r="BL218" s="32"/>
      <c r="BM218" s="32"/>
      <c r="BN218" s="32"/>
      <c r="BO218" s="32"/>
      <c r="BP218" s="32"/>
      <c r="BQ218" s="32"/>
      <c r="BR218" s="32"/>
      <c r="BS218" s="32"/>
      <c r="BT218" s="32"/>
      <c r="BU218" s="32"/>
      <c r="BV218" s="32"/>
      <c r="BW218" s="32"/>
      <c r="BX218" s="32"/>
      <c r="BY218" s="32"/>
      <c r="BZ218" s="32"/>
      <c r="CA218" s="32"/>
      <c r="CB218" s="32"/>
      <c r="CC218" s="32"/>
      <c r="CD218" s="32"/>
      <c r="CE218" s="32"/>
      <c r="CF218" s="32"/>
      <c r="CG218" s="32"/>
      <c r="CH218" s="32"/>
      <c r="CI218" s="32"/>
      <c r="CJ218" s="32"/>
      <c r="CK218" s="32"/>
      <c r="CL218" s="32"/>
      <c r="CM218" s="32"/>
      <c r="CN218" s="32"/>
      <c r="CO218" s="32"/>
      <c r="CP218" s="32"/>
      <c r="CQ218" s="32"/>
      <c r="CR218" s="32"/>
      <c r="CS218" s="32"/>
      <c r="CT218" s="32"/>
      <c r="CU218" s="32"/>
      <c r="CV218" s="32"/>
      <c r="CW218" s="32"/>
      <c r="CX218" s="32"/>
      <c r="CY218" s="32"/>
      <c r="CZ218" s="32"/>
      <c r="DA218" s="32"/>
      <c r="DB218" s="32"/>
      <c r="DC218" s="32"/>
      <c r="DD218" s="32"/>
      <c r="DE218" s="32"/>
      <c r="DF218" s="32"/>
      <c r="DG218" s="32"/>
    </row>
    <row r="219" spans="3:111" ht="20.350000000000001" customHeight="1" x14ac:dyDescent="0.45">
      <c r="C219" s="47" t="s">
        <v>38</v>
      </c>
      <c r="D219" s="32" cm="1">
        <f t="array" ref="D219">PricePutAm($C124,$C125,$C126,$C127,D175,$C128)</f>
        <v>5.6790905481614402</v>
      </c>
      <c r="E219" s="32" cm="1">
        <f t="array" ref="E219">PricePutAm($C124,$C125,$C126,$C127,E175,$C128)</f>
        <v>6.4592387583665927</v>
      </c>
      <c r="F219" s="32" cm="1">
        <f t="array" ref="F219">PricePutAm($C124,$C125,$C126,$C127,F175,$C128)</f>
        <v>5.9212259744476246</v>
      </c>
      <c r="G219" s="32" cm="1">
        <f t="array" ref="G219">PricePutAm($C124,$C125,$C126,$C127,G175,$C128)</f>
        <v>6.2966406216630233</v>
      </c>
      <c r="H219" s="32" cm="1">
        <f t="array" ref="H219">PricePutAm($C124,$C125,$C126,$C127,H175,$C128)</f>
        <v>6.0001353540452005</v>
      </c>
      <c r="I219" s="32" cm="1">
        <f t="array" ref="I219">PricePutAm($C124,$C125,$C126,$C127,I175,$C128)</f>
        <v>6.2175572005636868</v>
      </c>
      <c r="J219" s="32" cm="1">
        <f t="array" ref="J219">PricePutAm($C124,$C125,$C126,$C127,J175,$C128)</f>
        <v>6.0641126285604816</v>
      </c>
      <c r="K219" s="32" cm="1">
        <f t="array" ref="K219">PricePutAm($C124,$C125,$C126,$C127,K175,$C128)</f>
        <v>6.1952104204105884</v>
      </c>
      <c r="L219" s="32" cm="1">
        <f t="array" ref="L219">PricePutAm($C124,$C125,$C126,$C127,L175,$C128)</f>
        <v>6.0869351769636788</v>
      </c>
      <c r="M219" s="32" cm="1">
        <f t="array" ref="M219">PricePutAm($C124,$C125,$C126,$C127,M175,$C128)</f>
        <v>6.157811323041841</v>
      </c>
      <c r="N219" s="32" cm="1">
        <f t="array" ref="N219">PricePutAm($C124,$C125,$C126,$C127,N175,$C128)</f>
        <v>6.0923602092454141</v>
      </c>
      <c r="O219" s="32" cm="1">
        <f t="array" ref="O219">PricePutAm($C124,$C125,$C126,$C127,O175,$C128)</f>
        <v>6.1364759280069965</v>
      </c>
      <c r="P219" s="32" cm="1">
        <f t="array" ref="P219">PricePutAm($C124,$C125,$C126,$C127,P175,$C128)</f>
        <v>6.107050507129558</v>
      </c>
      <c r="Q219" s="32" cm="1">
        <f t="array" ref="Q219">PricePutAm($C124,$C125,$C126,$C127,Q175,$C128)</f>
        <v>6.1295984656022773</v>
      </c>
      <c r="R219" s="32" cm="1">
        <f t="array" ref="R219">PricePutAm($C124,$C125,$C126,$C127,R175,$C128)</f>
        <v>6.1167518635674449</v>
      </c>
      <c r="S219" s="32" cm="1">
        <f t="array" ref="S219">PricePutAm($C124,$C125,$C126,$C127,S175,$C128)</f>
        <v>6.119386814733291</v>
      </c>
      <c r="T219" s="32" cm="1">
        <f t="array" ref="T219">PricePutAm($C124,$C125,$C126,$C127,T175,$C128)</f>
        <v>6.1181765184864156</v>
      </c>
      <c r="U219" s="32" cm="1">
        <f t="array" ref="U219">PricePutAm($C124,$C125,$C126,$C127,U175,$C128)</f>
        <v>6.1049602190779737</v>
      </c>
      <c r="V219" s="32" cm="1">
        <f t="array" ref="V219">PricePutAm($C124,$C125,$C126,$C127,V175,$C128)</f>
        <v>6.11597218928756</v>
      </c>
      <c r="W219" s="32" cm="1">
        <f t="array" ref="W219">PricePutAm($C124,$C125,$C126,$C127,W175,$C128)</f>
        <v>6.098062755761922</v>
      </c>
      <c r="X219" s="32" cm="1">
        <f t="array" ref="X219">PricePutAm($C124,$C125,$C126,$C127,X175,$C128)</f>
        <v>6.1182077697338411</v>
      </c>
      <c r="Y219" s="32" cm="1">
        <f t="array" ref="Y219">PricePutAm($C124,$C125,$C126,$C127,Y175,$C128)</f>
        <v>6.0951353479613788</v>
      </c>
      <c r="Z219" s="32" cm="1">
        <f t="array" ref="Z219">PricePutAm($C124,$C125,$C126,$C127,Z175,$C128)</f>
        <v>6.121109726577096</v>
      </c>
      <c r="AA219" s="32" cm="1">
        <f t="array" ref="AA219">PricePutAm($C124,$C125,$C126,$C127,AA175,$C128)</f>
        <v>6.0915311838385744</v>
      </c>
      <c r="AB219" s="32" cm="1">
        <f t="array" ref="AB219">PricePutAm($C124,$C125,$C126,$C127,AB175,$C128)</f>
        <v>6.1215316629748218</v>
      </c>
      <c r="AC219" s="32" cm="1">
        <f t="array" ref="AC219">PricePutAm($C124,$C125,$C126,$C127,AC175,$C128)</f>
        <v>6.0870238742159346</v>
      </c>
      <c r="AD219" s="32" cm="1">
        <f t="array" ref="AD219">PricePutAm($C124,$C125,$C126,$C127,AD175,$C128)</f>
        <v>6.1198010112219734</v>
      </c>
      <c r="AE219" s="32" cm="1">
        <f t="array" ref="AE219">PricePutAm($C124,$C125,$C126,$C127,AE175,$C128)</f>
        <v>6.0812926011743622</v>
      </c>
      <c r="AF219" s="32" cm="1">
        <f t="array" ref="AF219">PricePutAm($C124,$C125,$C126,$C127,AF175,$C128)</f>
        <v>6.1188869059434552</v>
      </c>
      <c r="AG219" s="32" cm="1">
        <f t="array" ref="AG219">PricePutAm($C124,$C125,$C126,$C127,AG175,$C128)</f>
        <v>6.0777723408416122</v>
      </c>
      <c r="AH219" s="32" cm="1">
        <f t="array" ref="AH219">PricePutAm($C124,$C125,$C126,$C127,AH175,$C128)</f>
        <v>6.1191506695787163</v>
      </c>
      <c r="AI219" s="32" cm="1">
        <f t="array" ref="AI219">PricePutAm($C124,$C125,$C126,$C127,AI175,$C128)</f>
        <v>6.0760413378426765</v>
      </c>
      <c r="AJ219" s="32" cm="1">
        <f t="array" ref="AJ219">PricePutAm($C124,$C125,$C126,$C127,AJ175,$C128)</f>
        <v>6.1196600196763837</v>
      </c>
      <c r="AK219" s="32" cm="1">
        <f t="array" ref="AK219">PricePutAm($C124,$C125,$C126,$C127,AK175,$C128)</f>
        <v>6.0746407097513444</v>
      </c>
      <c r="AL219" s="32" cm="1">
        <f t="array" ref="AL219">PricePutAm($C124,$C125,$C126,$C127,AL175,$C128)</f>
        <v>6.1196561455558527</v>
      </c>
      <c r="AM219" s="32" cm="1">
        <f t="array" ref="AM219">PricePutAm($C124,$C125,$C126,$C127,AM175,$C128)</f>
        <v>6.0724518155384501</v>
      </c>
      <c r="AN219" s="32" cm="1">
        <f t="array" ref="AN219">PricePutAm($C124,$C125,$C126,$C127,AN175,$C128)</f>
        <v>6.118327903871748</v>
      </c>
      <c r="AO219" s="32" cm="1">
        <f t="array" ref="AO219">PricePutAm($C124,$C125,$C126,$C127,AO175,$C128)</f>
        <v>6.0696624867020912</v>
      </c>
      <c r="AP219" s="32" cm="1">
        <f t="array" ref="AP219">PricePutAm($C124,$C125,$C126,$C127,AP175,$C128)</f>
        <v>6.1165800847819582</v>
      </c>
      <c r="AQ219" s="32" cm="1">
        <f t="array" ref="AQ219">PricePutAm($C124,$C125,$C126,$C127,AQ175,$C128)</f>
        <v>6.0669377242810896</v>
      </c>
      <c r="AR219" s="32" cm="1">
        <f t="array" ref="AR219">PricePutAm($C124,$C125,$C126,$C127,AR175,$C128)</f>
        <v>6.1154848136682434</v>
      </c>
      <c r="AS219" s="32" cm="1">
        <f t="array" ref="AS219">PricePutAm($C124,$C125,$C126,$C127,AS175,$C128)</f>
        <v>6.0652144367108738</v>
      </c>
      <c r="AT219" s="32" cm="1">
        <f t="array" ref="AT219">PricePutAm($C124,$C125,$C126,$C127,AT175,$C128)</f>
        <v>6.1152366018255453</v>
      </c>
      <c r="AU219" s="32" cm="1">
        <f t="array" ref="AU219">PricePutAm($C124,$C125,$C126,$C127,AU175,$C128)</f>
        <v>6.0651887548055878</v>
      </c>
      <c r="AV219" s="32" cm="1">
        <f t="array" ref="AV219">PricePutAm($C124,$C125,$C126,$C127,AV175,$C128)</f>
        <v>6.11494002012968</v>
      </c>
      <c r="AW219" s="32" cm="1">
        <f t="array" ref="AW219">PricePutAm($C124,$C125,$C126,$C127,AW175,$C128)</f>
        <v>6.0669998623886583</v>
      </c>
      <c r="AX219" s="32" cm="1">
        <f t="array" ref="AX219">PricePutAm($C124,$C125,$C126,$C127,AX175,$C128)</f>
        <v>6.1143748593351139</v>
      </c>
      <c r="AY219" s="32" cm="1">
        <f t="array" ref="AY219">PricePutAm($C124,$C125,$C126,$C127,AY175,$C128)</f>
        <v>6.0683031078774503</v>
      </c>
      <c r="AZ219" s="32" cm="1">
        <f t="array" ref="AZ219">PricePutAm($C124,$C125,$C126,$C127,AZ175,$C128)</f>
        <v>6.1133056199042111</v>
      </c>
      <c r="BA219" s="32" cm="1">
        <f t="array" ref="BA219">PricePutAm($C124,$C125,$C126,$C127,BA175,$C128)</f>
        <v>6.0691199944128238</v>
      </c>
      <c r="BB219" s="32" cm="1">
        <f t="array" ref="BB219">PricePutAm($C124,$C125,$C126,$C127,BB175,$C128)</f>
        <v>6.1120315132393923</v>
      </c>
      <c r="BC219" s="32" cm="1">
        <f t="array" ref="BC219">PricePutAm($C124,$C125,$C126,$C127,BC175,$C128)</f>
        <v>6.0707224837949809</v>
      </c>
      <c r="BD219" s="32" cm="1">
        <f t="array" ref="BD219">PricePutAm($C124,$C125,$C126,$C127,BD175,$C128)</f>
        <v>6.11103519297047</v>
      </c>
      <c r="BE219" s="32" cm="1">
        <f t="array" ref="BE219">PricePutAm($C124,$C125,$C126,$C127,BE175,$C128)</f>
        <v>6.072454130936018</v>
      </c>
      <c r="BF219" s="32" cm="1">
        <f t="array" ref="BF219">PricePutAm($C124,$C125,$C126,$C127,BF175,$C128)</f>
        <v>6.1103923559198217</v>
      </c>
      <c r="BG219" s="32" cm="1">
        <f t="array" ref="BG219">PricePutAm($C124,$C125,$C126,$C127,BG175,$C128)</f>
        <v>6.0742987012757679</v>
      </c>
      <c r="BH219" s="32" cm="1">
        <f t="array" ref="BH219">PricePutAm($C124,$C125,$C126,$C127,BH175,$C128)</f>
        <v>6.1099152412676681</v>
      </c>
      <c r="BI219" s="32" cm="1">
        <f t="array" ref="BI219">PricePutAm($C124,$C125,$C126,$C127,BI175,$C128)</f>
        <v>6.0760944575964135</v>
      </c>
      <c r="BJ219" s="32" cm="1">
        <f t="array" ref="BJ219">PricePutAm($C124,$C125,$C126,$C127,BJ175,$C128)</f>
        <v>6.1095631504294152</v>
      </c>
      <c r="BK219" s="32" cm="1">
        <f t="array" ref="BK219">PricePutAm($C124,$C125,$C126,$C127,BK175,$C128)</f>
        <v>6.0777566368750966</v>
      </c>
      <c r="BL219" s="32" cm="1">
        <f t="array" ref="BL219">PricePutAm($C124,$C125,$C126,$C127,BL175,$C128)</f>
        <v>6.1090577573412164</v>
      </c>
      <c r="BM219" s="32" cm="1">
        <f t="array" ref="BM219">PricePutAm($C124,$C125,$C126,$C127,BM175,$C128)</f>
        <v>6.0791118965690849</v>
      </c>
      <c r="BN219" s="32" cm="1">
        <f t="array" ref="BN219">PricePutAm($C124,$C125,$C126,$C127,BN175,$C128)</f>
        <v>6.108295660499337</v>
      </c>
      <c r="BO219" s="32" cm="1">
        <f t="array" ref="BO219">PricePutAm($C124,$C125,$C126,$C127,BO175,$C128)</f>
        <v>6.0804808672725663</v>
      </c>
      <c r="BP219" s="32" cm="1">
        <f t="array" ref="BP219">PricePutAm($C124,$C125,$C126,$C127,BP175,$C128)</f>
        <v>6.1072791710448202</v>
      </c>
      <c r="BQ219" s="32" cm="1">
        <f t="array" ref="BQ219">PricePutAm($C124,$C125,$C126,$C127,BQ175,$C128)</f>
        <v>6.0816086468768376</v>
      </c>
      <c r="BR219" s="32" cm="1">
        <f t="array" ref="BR219">PricePutAm($C124,$C125,$C126,$C127,BR175,$C128)</f>
        <v>6.1063838678417204</v>
      </c>
      <c r="BS219" s="32" cm="1">
        <f t="array" ref="BS219">PricePutAm($C124,$C125,$C126,$C127,BS175,$C128)</f>
        <v>6.0825945666046941</v>
      </c>
      <c r="BT219" s="32" cm="1">
        <f t="array" ref="BT219">PricePutAm($C124,$C125,$C126,$C127,BT175,$C128)</f>
        <v>6.1056589175370961</v>
      </c>
      <c r="BU219" s="32" cm="1">
        <f t="array" ref="BU219">PricePutAm($C124,$C125,$C126,$C127,BU175,$C128)</f>
        <v>6.0837163093661841</v>
      </c>
      <c r="BV219" s="32" cm="1">
        <f t="array" ref="BV219">PricePutAm($C124,$C125,$C126,$C127,BV175,$C128)</f>
        <v>6.1051205689955603</v>
      </c>
      <c r="BW219" s="32" cm="1">
        <f t="array" ref="BW219">PricePutAm($C124,$C125,$C126,$C127,BW175,$C128)</f>
        <v>6.0847944259930467</v>
      </c>
      <c r="BX219" s="32" cm="1">
        <f t="array" ref="BX219">PricePutAm($C124,$C125,$C126,$C127,BX175,$C128)</f>
        <v>6.1046438161665293</v>
      </c>
      <c r="BY219" s="32" cm="1">
        <f t="array" ref="BY219">PricePutAm($C124,$C125,$C126,$C127,BY175,$C128)</f>
        <v>6.0859364559979605</v>
      </c>
      <c r="BZ219" s="32" cm="1">
        <f t="array" ref="BZ219">PricePutAm($C124,$C125,$C126,$C127,BZ175,$C128)</f>
        <v>6.1042233101542287</v>
      </c>
      <c r="CA219" s="32" cm="1">
        <f t="array" ref="CA219">PricePutAm($C124,$C125,$C126,$C127,CA175,$C128)</f>
        <v>6.0869696723817777</v>
      </c>
      <c r="CB219" s="32" cm="1">
        <f t="array" ref="CB219">PricePutAm($C124,$C125,$C126,$C127,CB175,$C128)</f>
        <v>6.1037693559733928</v>
      </c>
      <c r="CC219" s="32" cm="1">
        <f t="array" ref="CC219">PricePutAm($C124,$C125,$C126,$C127,CC175,$C128)</f>
        <v>6.087828505045648</v>
      </c>
      <c r="CD219" s="32" cm="1">
        <f t="array" ref="CD219">PricePutAm($C124,$C125,$C126,$C127,CD175,$C128)</f>
        <v>6.1031821170055762</v>
      </c>
      <c r="CE219" s="32" cm="1">
        <f t="array" ref="CE219">PricePutAm($C124,$C125,$C126,$C127,CE175,$C128)</f>
        <v>6.088496766721029</v>
      </c>
      <c r="CF219" s="32" cm="1">
        <f t="array" ref="CF219">PricePutAm($C124,$C125,$C126,$C127,CF175,$C128)</f>
        <v>6.1024874666897286</v>
      </c>
      <c r="CG219" s="32" cm="1">
        <f t="array" ref="CG219">PricePutAm($C124,$C125,$C126,$C127,CG175,$C128)</f>
        <v>6.0889064052278421</v>
      </c>
      <c r="CH219" s="32" cm="1">
        <f t="array" ref="CH219">PricePutAm($C124,$C125,$C126,$C127,CH175,$C128)</f>
        <v>6.1017034894396103</v>
      </c>
      <c r="CI219" s="32" cm="1">
        <f t="array" ref="CI219">PricePutAm($C124,$C125,$C126,$C127,CI175,$C128)</f>
        <v>6.0892554350211761</v>
      </c>
      <c r="CJ219" s="32" cm="1">
        <f t="array" ref="CJ219">PricePutAm($C124,$C125,$C126,$C127,CJ175,$C128)</f>
        <v>6.1009755932983998</v>
      </c>
      <c r="CK219" s="32" cm="1">
        <f t="array" ref="CK219">PricePutAm($C124,$C125,$C126,$C127,CK175,$C128)</f>
        <v>6.0898596957741802</v>
      </c>
      <c r="CL219" s="32" cm="1">
        <f t="array" ref="CL219">PricePutAm($C124,$C125,$C126,$C127,CL175,$C128)</f>
        <v>6.1004148541734802</v>
      </c>
      <c r="CM219" s="32" cm="1">
        <f t="array" ref="CM219">PricePutAm($C124,$C125,$C126,$C127,CM175,$C128)</f>
        <v>6.090540861389278</v>
      </c>
      <c r="CN219" s="32" cm="1">
        <f t="array" ref="CN219">PricePutAm($C124,$C125,$C126,$C127,CN175,$C128)</f>
        <v>6.0999227466656452</v>
      </c>
      <c r="CO219" s="32" cm="1">
        <f t="array" ref="CO219">PricePutAm($C124,$C125,$C126,$C127,CO175,$C128)</f>
        <v>6.0912438800966013</v>
      </c>
      <c r="CP219" s="32" cm="1">
        <f t="array" ref="CP219">PricePutAm($C124,$C125,$C126,$C127,CP175,$C128)</f>
        <v>6.0994995888992003</v>
      </c>
      <c r="CQ219" s="32" cm="1">
        <f t="array" ref="CQ219">PricePutAm($C124,$C125,$C126,$C127,CQ175,$C128)</f>
        <v>6.0918720861220512</v>
      </c>
      <c r="CR219" s="32" cm="1">
        <f t="array" ref="CR219">PricePutAm($C124,$C125,$C126,$C127,CR175,$C128)</f>
        <v>6.0990755322783343</v>
      </c>
      <c r="CS219" s="32" cm="1">
        <f t="array" ref="CS219">PricePutAm($C124,$C125,$C126,$C127,CS175,$C128)</f>
        <v>6.0925032576962774</v>
      </c>
      <c r="CT219" s="32" cm="1">
        <f t="array" ref="CT219">PricePutAm($C124,$C125,$C126,$C127,CT175,$C128)</f>
        <v>6.0986478243703521</v>
      </c>
      <c r="CU219" s="32" cm="1">
        <f t="array" ref="CU219">PricePutAm($C124,$C125,$C126,$C127,CU175,$C128)</f>
        <v>6.0930104448869482</v>
      </c>
      <c r="CV219" s="32" cm="1">
        <f t="array" ref="CV219">PricePutAm($C124,$C125,$C126,$C127,CV175,$C128)</f>
        <v>6.0981704467307765</v>
      </c>
      <c r="CW219" s="32" cm="1">
        <f t="array" ref="CW219">PricePutAm($C124,$C125,$C126,$C127,CW175,$C128)</f>
        <v>6.0933931768076377</v>
      </c>
      <c r="CX219" s="32" cm="1">
        <f t="array" ref="CX219">PricePutAm($C124,$C125,$C126,$C127,CX175,$C128)</f>
        <v>6.0976079147642714</v>
      </c>
      <c r="CY219" s="32"/>
      <c r="CZ219" s="32"/>
      <c r="DA219" s="32"/>
      <c r="DB219" s="32"/>
      <c r="DC219" s="32"/>
      <c r="DD219" s="32"/>
      <c r="DE219" s="32"/>
      <c r="DF219" s="32"/>
      <c r="DG219" s="32"/>
    </row>
    <row r="220" spans="3:111" ht="20.350000000000001" customHeight="1" x14ac:dyDescent="0.45">
      <c r="C220" s="47" t="s">
        <v>49</v>
      </c>
      <c r="D220" s="32" cm="1">
        <f t="array" ref="D220">DeltaPutAm($C124,$C125,$C126,$C127,D175,$C128)</f>
        <v>-0.41161165235168157</v>
      </c>
      <c r="E220" s="32" cm="1">
        <f t="array" ref="E220">DeltaPutAm($C124,$C125,$C126,$C127,E175,$C128)</f>
        <v>-0.40002848822433734</v>
      </c>
      <c r="F220" s="32" cm="1">
        <f t="array" ref="F220">DeltaPutAm($C124,$C125,$C126,$C127,F175,$C128)</f>
        <v>-0.41319444444444448</v>
      </c>
      <c r="G220" s="32" cm="1">
        <f t="array" ref="G220">DeltaPutAm($C124,$C125,$C126,$C127,G175,$C128)</f>
        <v>-0.40308762494373107</v>
      </c>
      <c r="H220" s="32" cm="1">
        <f t="array" ref="H220">DeltaPutAm($C124,$C125,$C126,$C127,H175,$C128)</f>
        <v>-0.40650881908266162</v>
      </c>
      <c r="I220" s="32" cm="1">
        <f t="array" ref="I220">DeltaPutAm($C124,$C125,$C126,$C127,I175,$C128)</f>
        <v>-0.40556729588266599</v>
      </c>
      <c r="J220" s="32" cm="1">
        <f t="array" ref="J220">DeltaPutAm($C124,$C125,$C126,$C127,J175,$C128)</f>
        <v>-0.41010949771508359</v>
      </c>
      <c r="K220" s="32" cm="1">
        <f t="array" ref="K220">DeltaPutAm($C124,$C125,$C126,$C127,K175,$C128)</f>
        <v>-0.4083633363139777</v>
      </c>
      <c r="L220" s="32" cm="1">
        <f t="array" ref="L220">DeltaPutAm($C124,$C125,$C126,$C127,L175,$C128)</f>
        <v>-0.41019264863864119</v>
      </c>
      <c r="M220" s="32" cm="1">
        <f t="array" ref="M220">DeltaPutAm($C124,$C125,$C126,$C127,M175,$C128)</f>
        <v>-0.40722648977737802</v>
      </c>
      <c r="N220" s="32" cm="1">
        <f t="array" ref="N220">DeltaPutAm($C124,$C125,$C126,$C127,N175,$C128)</f>
        <v>-0.40859739735134126</v>
      </c>
      <c r="O220" s="32" cm="1">
        <f t="array" ref="O220">DeltaPutAm($C124,$C125,$C126,$C127,O175,$C128)</f>
        <v>-0.40829454800514092</v>
      </c>
      <c r="P220" s="32" cm="1">
        <f t="array" ref="P220">DeltaPutAm($C124,$C125,$C126,$C127,P175,$C128)</f>
        <v>-0.40976905848684708</v>
      </c>
      <c r="Q220" s="32" cm="1">
        <f t="array" ref="Q220">DeltaPutAm($C124,$C125,$C126,$C127,Q175,$C128)</f>
        <v>-0.40960396364818602</v>
      </c>
      <c r="R220" s="32" cm="1">
        <f t="array" ref="R220">DeltaPutAm($C124,$C125,$C126,$C127,R175,$C128)</f>
        <v>-0.4102078098799507</v>
      </c>
      <c r="S220" s="32"/>
      <c r="T220" s="32"/>
      <c r="U220" s="32"/>
      <c r="V220" s="32"/>
      <c r="W220" s="32"/>
      <c r="X220" s="32"/>
      <c r="Y220" s="32"/>
      <c r="Z220" s="32"/>
      <c r="AA220" s="32"/>
      <c r="AB220" s="32"/>
      <c r="AC220" s="32"/>
      <c r="AD220" s="32"/>
      <c r="AE220" s="32"/>
      <c r="AF220" s="32"/>
      <c r="AG220" s="32"/>
      <c r="AH220" s="32"/>
      <c r="AI220" s="32"/>
      <c r="AJ220" s="32"/>
      <c r="AK220" s="32"/>
      <c r="AL220" s="32"/>
      <c r="AM220" s="32"/>
      <c r="AN220" s="32"/>
      <c r="AO220" s="32"/>
      <c r="AP220" s="32"/>
      <c r="AQ220" s="32"/>
      <c r="AR220" s="32"/>
      <c r="AS220" s="32"/>
      <c r="AT220" s="32"/>
      <c r="AU220" s="32"/>
      <c r="AV220" s="32"/>
      <c r="AW220" s="32"/>
      <c r="AX220" s="32"/>
      <c r="AY220" s="32"/>
      <c r="AZ220" s="32"/>
      <c r="BA220" s="32"/>
      <c r="BB220" s="32"/>
      <c r="BC220" s="32"/>
      <c r="BD220" s="32"/>
      <c r="BE220" s="32"/>
      <c r="BF220" s="32"/>
      <c r="BG220" s="32"/>
      <c r="BH220" s="32"/>
      <c r="BI220" s="32"/>
      <c r="BJ220" s="32"/>
      <c r="BK220" s="32"/>
      <c r="BL220" s="32"/>
      <c r="BM220" s="32"/>
      <c r="BN220" s="32"/>
      <c r="BO220" s="32"/>
      <c r="BP220" s="32"/>
      <c r="BQ220" s="32"/>
      <c r="BR220" s="32"/>
      <c r="BS220" s="32"/>
      <c r="BT220" s="32"/>
      <c r="BU220" s="32"/>
      <c r="BV220" s="32"/>
      <c r="BW220" s="32"/>
      <c r="BX220" s="32"/>
      <c r="BY220" s="32"/>
      <c r="BZ220" s="32"/>
      <c r="CA220" s="32"/>
      <c r="CB220" s="32"/>
      <c r="CC220" s="32"/>
      <c r="CD220" s="32"/>
      <c r="CE220" s="32"/>
      <c r="CF220" s="32"/>
      <c r="CG220" s="32"/>
      <c r="CH220" s="32"/>
      <c r="CI220" s="32"/>
      <c r="CJ220" s="32"/>
      <c r="CK220" s="32"/>
      <c r="CL220" s="32"/>
      <c r="CM220" s="32"/>
      <c r="CN220" s="32"/>
      <c r="CO220" s="32"/>
      <c r="CP220" s="32"/>
      <c r="CQ220" s="32"/>
      <c r="CR220" s="32"/>
      <c r="CS220" s="32"/>
      <c r="CT220" s="32"/>
      <c r="CU220" s="32"/>
      <c r="CV220" s="32"/>
      <c r="CW220" s="32"/>
      <c r="CX220" s="32"/>
      <c r="CY220" s="32"/>
      <c r="CZ220" s="32"/>
      <c r="DA220" s="32"/>
      <c r="DB220" s="32"/>
      <c r="DC220" s="32"/>
      <c r="DD220" s="32"/>
      <c r="DE220" s="32"/>
      <c r="DF220" s="32"/>
      <c r="DG220" s="32"/>
    </row>
    <row r="221" spans="3:111" ht="20.350000000000001" customHeight="1" x14ac:dyDescent="0.45">
      <c r="C221" s="47" t="s">
        <v>50</v>
      </c>
      <c r="D221" s="32">
        <f>LOG(ABS(D219-$J224))</f>
        <v>-0.3666671410667719</v>
      </c>
      <c r="E221" s="32">
        <f t="shared" ref="E221:BP221" si="36">LOG(ABS(E219-$J224))</f>
        <v>-0.45558162746903436</v>
      </c>
      <c r="F221" s="32">
        <f t="shared" si="36"/>
        <v>-0.72646553593231145</v>
      </c>
      <c r="G221" s="32">
        <f t="shared" si="36"/>
        <v>-0.72657203573914364</v>
      </c>
      <c r="H221" s="32">
        <f t="shared" si="36"/>
        <v>-0.96328745008725425</v>
      </c>
      <c r="I221" s="32">
        <f t="shared" si="36"/>
        <v>-0.96416662659699637</v>
      </c>
      <c r="J221" s="32">
        <f t="shared" si="36"/>
        <v>-1.3482987092052428</v>
      </c>
      <c r="K221" s="32">
        <f t="shared" si="36"/>
        <v>-1.0642202162551755</v>
      </c>
      <c r="L221" s="32">
        <f t="shared" si="36"/>
        <v>-1.6571602741517051</v>
      </c>
      <c r="M221" s="32">
        <f t="shared" si="36"/>
        <v>-1.3110908958419916</v>
      </c>
      <c r="N221" s="32">
        <f t="shared" si="36"/>
        <v>-1.7799938507031017</v>
      </c>
      <c r="O221" s="32">
        <f t="shared" si="36"/>
        <v>-1.5603576509175143</v>
      </c>
      <c r="P221" s="32">
        <f t="shared" si="36"/>
        <v>-2.7199212696723403</v>
      </c>
      <c r="Q221" s="32">
        <f t="shared" si="36"/>
        <v>-1.6852450221015156</v>
      </c>
      <c r="R221" s="32">
        <f t="shared" si="36"/>
        <v>-2.1081532240748238</v>
      </c>
      <c r="S221" s="32">
        <f t="shared" si="36"/>
        <v>-1.9816948131998486</v>
      </c>
      <c r="T221" s="32">
        <f t="shared" si="36"/>
        <v>-2.035259414380584</v>
      </c>
      <c r="U221" s="32">
        <f t="shared" si="36"/>
        <v>-2.3983642795392384</v>
      </c>
      <c r="V221" s="32">
        <f t="shared" si="36"/>
        <v>-2.1539180965853526</v>
      </c>
      <c r="W221" s="32">
        <f t="shared" si="36"/>
        <v>-1.962830268096613</v>
      </c>
      <c r="X221" s="32">
        <f t="shared" si="36"/>
        <v>-2.0337898923041959</v>
      </c>
      <c r="Y221" s="32">
        <f t="shared" si="36"/>
        <v>-1.8594616219665459</v>
      </c>
      <c r="Z221" s="32">
        <f t="shared" si="36"/>
        <v>-1.9153017339020137</v>
      </c>
      <c r="AA221" s="32">
        <f t="shared" si="36"/>
        <v>-1.7588239864171027</v>
      </c>
      <c r="AB221" s="32">
        <f t="shared" si="36"/>
        <v>-1.9004799301929722</v>
      </c>
      <c r="AC221" s="32">
        <f t="shared" si="36"/>
        <v>-1.6589130680540205</v>
      </c>
      <c r="AD221" s="32">
        <f t="shared" si="36"/>
        <v>-1.9647825409930171</v>
      </c>
      <c r="AE221" s="32">
        <f t="shared" si="36"/>
        <v>-1.5580895432957678</v>
      </c>
      <c r="AF221" s="32">
        <f t="shared" si="36"/>
        <v>-2.0030248329686442</v>
      </c>
      <c r="AG221" s="32">
        <f t="shared" si="36"/>
        <v>-1.5060685616966774</v>
      </c>
      <c r="AH221" s="32">
        <f t="shared" si="36"/>
        <v>-1.9916401927860825</v>
      </c>
      <c r="AI221" s="32">
        <f t="shared" si="36"/>
        <v>-1.4826064643061547</v>
      </c>
      <c r="AJ221" s="32">
        <f t="shared" si="36"/>
        <v>-1.9704658132445498</v>
      </c>
      <c r="AK221" s="32">
        <f t="shared" si="36"/>
        <v>-1.4645083581725353</v>
      </c>
      <c r="AL221" s="32">
        <f t="shared" si="36"/>
        <v>-1.9706230310969102</v>
      </c>
      <c r="AM221" s="32">
        <f t="shared" si="36"/>
        <v>-1.4376536222361473</v>
      </c>
      <c r="AN221" s="32">
        <f t="shared" si="36"/>
        <v>-2.0281866935444377</v>
      </c>
      <c r="AO221" s="32">
        <f t="shared" si="36"/>
        <v>-1.405675675630204</v>
      </c>
      <c r="AP221" s="32">
        <f t="shared" si="36"/>
        <v>-2.1178301302936617</v>
      </c>
      <c r="AQ221" s="32">
        <f t="shared" si="36"/>
        <v>-1.3765585351892187</v>
      </c>
      <c r="AR221" s="32">
        <f t="shared" si="36"/>
        <v>-2.1851865675202209</v>
      </c>
      <c r="AS221" s="32">
        <f t="shared" si="36"/>
        <v>-1.3591025889741979</v>
      </c>
      <c r="AT221" s="32">
        <f t="shared" si="36"/>
        <v>-2.202020404171416</v>
      </c>
      <c r="AU221" s="32">
        <f t="shared" si="36"/>
        <v>-1.3588476790880071</v>
      </c>
      <c r="AV221" s="32">
        <f t="shared" si="36"/>
        <v>-2.2230296932872196</v>
      </c>
      <c r="AW221" s="32">
        <f t="shared" si="36"/>
        <v>-1.3772012557446665</v>
      </c>
      <c r="AX221" s="32">
        <f t="shared" si="36"/>
        <v>-2.2661172331440671</v>
      </c>
      <c r="AY221" s="32">
        <f t="shared" si="36"/>
        <v>-1.3909052054086133</v>
      </c>
      <c r="AZ221" s="32">
        <f t="shared" si="36"/>
        <v>-2.3615799763807379</v>
      </c>
      <c r="BA221" s="32">
        <f t="shared" si="36"/>
        <v>-1.3997207997113945</v>
      </c>
      <c r="BB221" s="32">
        <f t="shared" si="36"/>
        <v>-2.5121266435594238</v>
      </c>
      <c r="BC221" s="32">
        <f t="shared" si="36"/>
        <v>-1.4175522007346897</v>
      </c>
      <c r="BD221" s="32">
        <f t="shared" si="36"/>
        <v>-2.682170649198337</v>
      </c>
      <c r="BE221" s="32">
        <f t="shared" si="36"/>
        <v>-1.4376811694245846</v>
      </c>
      <c r="BF221" s="32">
        <f t="shared" si="36"/>
        <v>-2.8428326727408324</v>
      </c>
      <c r="BG221" s="32">
        <f t="shared" si="36"/>
        <v>-1.4602013642241329</v>
      </c>
      <c r="BH221" s="32">
        <f t="shared" si="36"/>
        <v>-3.0182140179174324</v>
      </c>
      <c r="BI221" s="32">
        <f t="shared" si="36"/>
        <v>-1.4833079155780127</v>
      </c>
      <c r="BJ221" s="32">
        <f t="shared" si="36"/>
        <v>-3.2169278597129689</v>
      </c>
      <c r="BK221" s="32">
        <f t="shared" si="36"/>
        <v>-1.5058499099741074</v>
      </c>
      <c r="BL221" s="32">
        <f t="shared" si="36"/>
        <v>-3.9937734881385123</v>
      </c>
      <c r="BM221" s="32">
        <f t="shared" si="36"/>
        <v>-1.5251369042904919</v>
      </c>
      <c r="BN221" s="32">
        <f t="shared" si="36"/>
        <v>-3.1800267149921759</v>
      </c>
      <c r="BO221" s="32">
        <f t="shared" si="36"/>
        <v>-1.5455294644823603</v>
      </c>
      <c r="BP221" s="32">
        <f t="shared" si="36"/>
        <v>-2.7754300971677979</v>
      </c>
      <c r="BQ221" s="32">
        <f t="shared" ref="BQ221:CX221" si="37">LOG(ABS(BQ219-$J224))</f>
        <v>-1.5630797259938549</v>
      </c>
      <c r="BR221" s="32">
        <f t="shared" si="37"/>
        <v>-2.5896538233212918</v>
      </c>
      <c r="BS221" s="32">
        <f t="shared" si="37"/>
        <v>-1.5790258172175979</v>
      </c>
      <c r="BT221" s="32">
        <f t="shared" si="37"/>
        <v>-2.4818289235362703</v>
      </c>
      <c r="BU221" s="32">
        <f t="shared" si="37"/>
        <v>-1.5979105816198829</v>
      </c>
      <c r="BV221" s="32">
        <f t="shared" si="37"/>
        <v>-2.4161503503626469</v>
      </c>
      <c r="BW221" s="32">
        <f t="shared" si="37"/>
        <v>-1.6168691454638702</v>
      </c>
      <c r="BX221" s="32">
        <f t="shared" si="37"/>
        <v>-2.3652711798904318</v>
      </c>
      <c r="BY221" s="32">
        <f t="shared" si="37"/>
        <v>-1.6378973727170374</v>
      </c>
      <c r="BZ221" s="32">
        <f t="shared" si="37"/>
        <v>-2.3248632062375409</v>
      </c>
      <c r="CA221" s="32">
        <f t="shared" si="37"/>
        <v>-1.6578411162086941</v>
      </c>
      <c r="CB221" s="32">
        <f t="shared" si="37"/>
        <v>-2.285087324371013</v>
      </c>
      <c r="CC221" s="32">
        <f t="shared" si="37"/>
        <v>-1.6751455530835375</v>
      </c>
      <c r="CD221" s="32">
        <f t="shared" si="37"/>
        <v>-2.2385084557902548</v>
      </c>
      <c r="CE221" s="32">
        <f t="shared" si="37"/>
        <v>-1.6891039951298603</v>
      </c>
      <c r="CF221" s="32">
        <f t="shared" si="37"/>
        <v>-2.1891731462876169</v>
      </c>
      <c r="CG221" s="32">
        <f t="shared" si="37"/>
        <v>-1.6978876141064436</v>
      </c>
      <c r="CH221" s="32">
        <f t="shared" si="37"/>
        <v>-2.1394928691189166</v>
      </c>
      <c r="CI221" s="32">
        <f t="shared" si="37"/>
        <v>-1.7055144121031611</v>
      </c>
      <c r="CJ221" s="32">
        <f t="shared" si="37"/>
        <v>-2.0979579254843479</v>
      </c>
      <c r="CK221" s="32">
        <f t="shared" si="37"/>
        <v>-1.7190435498685155</v>
      </c>
      <c r="CL221" s="32">
        <f t="shared" si="37"/>
        <v>-2.0684679326475144</v>
      </c>
      <c r="CM221" s="32">
        <f t="shared" si="37"/>
        <v>-1.7348176190319995</v>
      </c>
      <c r="CN221" s="32">
        <f t="shared" si="37"/>
        <v>-2.0441407472683726</v>
      </c>
      <c r="CO221" s="32">
        <f t="shared" si="37"/>
        <v>-1.7517217743681963</v>
      </c>
      <c r="CP221" s="32">
        <f t="shared" si="37"/>
        <v>-2.0242592671882926</v>
      </c>
      <c r="CQ221" s="32">
        <f t="shared" si="37"/>
        <v>-1.7674046619868677</v>
      </c>
      <c r="CR221" s="32">
        <f t="shared" si="37"/>
        <v>-2.0052087251458328</v>
      </c>
      <c r="CS221" s="32">
        <f t="shared" si="37"/>
        <v>-1.7837534343923294</v>
      </c>
      <c r="CT221" s="32">
        <f t="shared" si="37"/>
        <v>-1.9868049908339467</v>
      </c>
      <c r="CU221" s="32">
        <f t="shared" si="37"/>
        <v>-1.7973518238800141</v>
      </c>
      <c r="CV221" s="32">
        <f t="shared" si="37"/>
        <v>-1.9671449563423391</v>
      </c>
      <c r="CW221" s="32">
        <f t="shared" si="37"/>
        <v>-1.8079028734713196</v>
      </c>
      <c r="CX221" s="32">
        <f t="shared" si="37"/>
        <v>-1.9450654206847431</v>
      </c>
      <c r="CY221" s="32"/>
      <c r="CZ221" s="32"/>
      <c r="DA221" s="32"/>
      <c r="DB221" s="32"/>
      <c r="DC221" s="32"/>
      <c r="DD221" s="32"/>
      <c r="DE221" s="32"/>
      <c r="DF221" s="32"/>
      <c r="DG221" s="32"/>
    </row>
    <row r="222" spans="3:111" ht="20.350000000000001" customHeight="1" x14ac:dyDescent="0.45">
      <c r="C222" s="47" t="s">
        <v>51</v>
      </c>
      <c r="D222" s="32">
        <f>LOG(ABS(D220-$J225))</f>
        <v>-1.5788555158373274</v>
      </c>
      <c r="E222" s="32">
        <f t="shared" ref="E222:R222" si="38">LOG(ABS(E220-$J225))</f>
        <v>-1.4207281416159954</v>
      </c>
      <c r="F222" s="32">
        <f t="shared" si="38"/>
        <v>-1.6057358425059864</v>
      </c>
      <c r="G222" s="32">
        <f t="shared" si="38"/>
        <v>-1.4572229397231187</v>
      </c>
      <c r="H222" s="32">
        <f t="shared" si="38"/>
        <v>-1.5020353744466124</v>
      </c>
      <c r="I222" s="32">
        <f t="shared" si="38"/>
        <v>-1.4892346476796456</v>
      </c>
      <c r="J222" s="32">
        <f t="shared" si="38"/>
        <v>-1.5547969542421558</v>
      </c>
      <c r="K222" s="32">
        <f t="shared" si="38"/>
        <v>-1.5284090503444985</v>
      </c>
      <c r="L222" s="32">
        <f t="shared" si="38"/>
        <v>-1.5560944230196601</v>
      </c>
      <c r="M222" s="32">
        <f t="shared" si="38"/>
        <v>-1.5120525167308492</v>
      </c>
      <c r="N222" s="32">
        <f t="shared" si="38"/>
        <v>-1.5318544853811573</v>
      </c>
      <c r="O222" s="32">
        <f t="shared" si="38"/>
        <v>-1.5274016451309356</v>
      </c>
      <c r="P222" s="32">
        <f t="shared" si="38"/>
        <v>-1.5495248722578341</v>
      </c>
      <c r="Q222" s="32">
        <f t="shared" si="38"/>
        <v>-1.5469910557833122</v>
      </c>
      <c r="R222" s="32">
        <f t="shared" si="38"/>
        <v>-1.5563314140911939</v>
      </c>
      <c r="S222" s="32"/>
      <c r="T222" s="32"/>
      <c r="U222" s="32"/>
      <c r="V222" s="32"/>
      <c r="W222" s="32"/>
      <c r="X222" s="32"/>
      <c r="Y222" s="32"/>
      <c r="Z222" s="32"/>
      <c r="AA222" s="32"/>
      <c r="AB222" s="32"/>
      <c r="AC222" s="32"/>
      <c r="AD222" s="32"/>
      <c r="AE222" s="32"/>
      <c r="AF222" s="32"/>
      <c r="AG222" s="32"/>
      <c r="AH222" s="32"/>
      <c r="AI222" s="32"/>
      <c r="AJ222" s="32"/>
      <c r="AK222" s="32"/>
      <c r="AL222" s="32"/>
      <c r="AM222" s="32"/>
      <c r="AN222" s="32"/>
      <c r="AO222" s="32"/>
      <c r="AP222" s="32"/>
      <c r="AQ222" s="32"/>
      <c r="AR222" s="32"/>
      <c r="AS222" s="32"/>
      <c r="AT222" s="32"/>
      <c r="AU222" s="32"/>
      <c r="AV222" s="32"/>
      <c r="AW222" s="32"/>
      <c r="AX222" s="32"/>
      <c r="AY222" s="32"/>
      <c r="AZ222" s="32"/>
      <c r="BA222" s="32"/>
      <c r="BB222" s="32"/>
      <c r="BC222" s="32"/>
      <c r="BD222" s="32"/>
      <c r="BE222" s="32"/>
      <c r="BF222" s="32"/>
      <c r="BG222" s="32"/>
      <c r="BH222" s="32"/>
      <c r="BI222" s="32"/>
      <c r="BJ222" s="32"/>
      <c r="BK222" s="32"/>
      <c r="BL222" s="32"/>
      <c r="BM222" s="32"/>
      <c r="BN222" s="32"/>
      <c r="BO222" s="32"/>
      <c r="BP222" s="32"/>
      <c r="BQ222" s="32"/>
      <c r="BR222" s="32"/>
      <c r="BS222" s="32"/>
      <c r="BT222" s="32"/>
      <c r="BU222" s="32"/>
      <c r="BV222" s="32"/>
      <c r="BW222" s="32"/>
      <c r="BX222" s="32"/>
      <c r="BY222" s="32"/>
      <c r="BZ222" s="32"/>
      <c r="CA222" s="32"/>
      <c r="CB222" s="32"/>
      <c r="CC222" s="32"/>
      <c r="CD222" s="32"/>
      <c r="CE222" s="32"/>
      <c r="CF222" s="32"/>
      <c r="CG222" s="32"/>
      <c r="CH222" s="32"/>
      <c r="CI222" s="32"/>
      <c r="CJ222" s="32"/>
      <c r="CK222" s="32"/>
      <c r="CL222" s="32"/>
      <c r="CM222" s="32"/>
      <c r="CN222" s="32"/>
      <c r="CO222" s="32"/>
      <c r="CP222" s="32"/>
      <c r="CQ222" s="32"/>
      <c r="CR222" s="32"/>
      <c r="CS222" s="32"/>
      <c r="CT222" s="32"/>
      <c r="CU222" s="32"/>
      <c r="CV222" s="32"/>
      <c r="CW222" s="32"/>
      <c r="CX222" s="32"/>
      <c r="CY222" s="32"/>
      <c r="CZ222" s="32"/>
      <c r="DA222" s="32"/>
      <c r="DB222" s="32"/>
      <c r="DC222" s="32"/>
      <c r="DD222" s="32"/>
      <c r="DE222" s="32"/>
      <c r="DF222" s="32"/>
      <c r="DG222" s="32"/>
    </row>
    <row r="223" spans="3:111" ht="20.350000000000001" customHeight="1" x14ac:dyDescent="0.45">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2"/>
      <c r="AB223" s="32"/>
      <c r="AC223" s="32"/>
      <c r="AD223" s="32"/>
      <c r="AE223" s="32"/>
      <c r="AF223" s="32"/>
      <c r="AG223" s="32"/>
      <c r="AH223" s="32"/>
      <c r="AI223" s="32"/>
      <c r="AJ223" s="32"/>
      <c r="AK223" s="32"/>
      <c r="AL223" s="32"/>
      <c r="AM223" s="32"/>
      <c r="AN223" s="32"/>
      <c r="AO223" s="32"/>
      <c r="AP223" s="32"/>
      <c r="AQ223" s="32"/>
      <c r="AR223" s="32"/>
      <c r="AS223" s="32"/>
      <c r="AT223" s="32"/>
      <c r="AU223" s="32"/>
      <c r="AV223" s="32"/>
      <c r="AW223" s="32"/>
      <c r="AX223" s="32"/>
      <c r="AY223" s="32"/>
      <c r="AZ223" s="32"/>
      <c r="BA223" s="32"/>
      <c r="BB223" s="32"/>
      <c r="BC223" s="32"/>
      <c r="BD223" s="32"/>
      <c r="BE223" s="32"/>
      <c r="BF223" s="32"/>
      <c r="BG223" s="32"/>
      <c r="BH223" s="32"/>
      <c r="BI223" s="32"/>
      <c r="BJ223" s="32"/>
      <c r="BK223" s="32"/>
      <c r="BL223" s="32"/>
      <c r="BM223" s="32"/>
      <c r="BN223" s="32"/>
      <c r="BO223" s="32"/>
      <c r="BP223" s="32"/>
      <c r="BQ223" s="32"/>
      <c r="BR223" s="32"/>
      <c r="BS223" s="32"/>
      <c r="BT223" s="32"/>
      <c r="BU223" s="32"/>
      <c r="BV223" s="32"/>
      <c r="BW223" s="32"/>
      <c r="BX223" s="32"/>
      <c r="BY223" s="32"/>
      <c r="BZ223" s="32"/>
      <c r="CA223" s="32"/>
      <c r="CB223" s="32"/>
      <c r="CC223" s="32"/>
      <c r="CD223" s="32"/>
      <c r="CE223" s="32"/>
      <c r="CF223" s="32"/>
      <c r="CG223" s="32"/>
      <c r="CH223" s="32"/>
      <c r="CI223" s="32"/>
      <c r="CJ223" s="32"/>
      <c r="CK223" s="32"/>
      <c r="CL223" s="32"/>
      <c r="CM223" s="32"/>
      <c r="CN223" s="32"/>
      <c r="CO223" s="32"/>
      <c r="CP223" s="32"/>
      <c r="CQ223" s="32"/>
      <c r="CR223" s="32"/>
      <c r="CS223" s="32"/>
      <c r="CT223" s="32"/>
      <c r="CU223" s="32"/>
      <c r="CV223" s="32"/>
      <c r="CW223" s="32"/>
      <c r="CX223" s="32"/>
      <c r="CY223" s="32"/>
      <c r="CZ223" s="32"/>
      <c r="DA223" s="32"/>
      <c r="DB223" s="32"/>
      <c r="DC223" s="32"/>
      <c r="DD223" s="32"/>
      <c r="DE223" s="32"/>
      <c r="DF223" s="32"/>
      <c r="DG223" s="32"/>
    </row>
    <row r="224" spans="3:111" ht="20.350000000000001" customHeight="1" x14ac:dyDescent="0.45">
      <c r="C224" s="32"/>
      <c r="D224" s="32"/>
      <c r="E224" s="32"/>
      <c r="F224" s="32"/>
      <c r="G224" s="32"/>
      <c r="H224" s="32"/>
      <c r="I224" s="47" t="s">
        <v>64</v>
      </c>
      <c r="J224" s="32" cm="1">
        <f t="array" ref="J224">PricePutAmRR(C124, C125, C126, C127, 1, C128)</f>
        <v>6.108956313307</v>
      </c>
      <c r="K224" s="32"/>
      <c r="L224" s="32">
        <f>J224</f>
        <v>6.108956313307</v>
      </c>
      <c r="M224" s="32"/>
      <c r="N224" s="32">
        <f>J225</f>
        <v>-0.43798373840293614</v>
      </c>
      <c r="O224" s="32"/>
      <c r="P224" s="32"/>
      <c r="Q224" s="32"/>
      <c r="R224" s="32"/>
      <c r="S224" s="32"/>
      <c r="T224" s="32"/>
      <c r="U224" s="32"/>
      <c r="V224" s="32"/>
      <c r="W224" s="32"/>
      <c r="X224" s="32"/>
      <c r="Y224" s="32"/>
      <c r="Z224" s="32"/>
      <c r="AA224" s="32"/>
      <c r="AB224" s="32"/>
      <c r="AC224" s="32"/>
      <c r="AD224" s="32"/>
      <c r="AE224" s="32"/>
      <c r="AF224" s="32"/>
      <c r="AG224" s="32"/>
      <c r="AH224" s="32"/>
      <c r="AI224" s="32"/>
      <c r="AJ224" s="32"/>
      <c r="AK224" s="32"/>
      <c r="AL224" s="32"/>
      <c r="AM224" s="32"/>
      <c r="AN224" s="32"/>
      <c r="AO224" s="32"/>
      <c r="AP224" s="32"/>
      <c r="AQ224" s="32"/>
      <c r="AR224" s="32"/>
      <c r="AS224" s="32"/>
      <c r="AT224" s="32"/>
      <c r="AU224" s="32"/>
      <c r="AV224" s="32"/>
      <c r="AW224" s="32"/>
      <c r="AX224" s="32"/>
      <c r="AY224" s="32"/>
      <c r="AZ224" s="32"/>
      <c r="BA224" s="32"/>
      <c r="BB224" s="32"/>
      <c r="BC224" s="32"/>
      <c r="BD224" s="32"/>
      <c r="BE224" s="32"/>
      <c r="BF224" s="32"/>
      <c r="BG224" s="32"/>
      <c r="BH224" s="32"/>
      <c r="BI224" s="32"/>
      <c r="BJ224" s="32"/>
      <c r="BK224" s="32"/>
      <c r="BL224" s="32"/>
      <c r="BM224" s="32"/>
      <c r="BN224" s="32"/>
      <c r="BO224" s="32"/>
      <c r="BP224" s="32"/>
      <c r="BQ224" s="32"/>
      <c r="BR224" s="32"/>
      <c r="BS224" s="32"/>
      <c r="BT224" s="32"/>
      <c r="BU224" s="32"/>
      <c r="BV224" s="32"/>
      <c r="BW224" s="32"/>
      <c r="BX224" s="32"/>
      <c r="BY224" s="32"/>
      <c r="BZ224" s="32"/>
      <c r="CA224" s="32"/>
      <c r="CB224" s="32"/>
      <c r="CC224" s="32"/>
      <c r="CD224" s="32"/>
      <c r="CE224" s="32"/>
      <c r="CF224" s="32"/>
      <c r="CG224" s="32"/>
      <c r="CH224" s="32"/>
      <c r="CI224" s="32"/>
      <c r="CJ224" s="32"/>
      <c r="CK224" s="32"/>
      <c r="CL224" s="32"/>
      <c r="CM224" s="32"/>
      <c r="CN224" s="32"/>
      <c r="CO224" s="32"/>
      <c r="CP224" s="32"/>
      <c r="CQ224" s="32"/>
      <c r="CR224" s="32"/>
      <c r="CS224" s="32"/>
      <c r="CT224" s="32"/>
      <c r="CU224" s="32"/>
      <c r="CV224" s="32"/>
      <c r="CW224" s="32"/>
      <c r="CX224" s="32"/>
      <c r="CY224" s="32"/>
      <c r="CZ224" s="32"/>
      <c r="DA224" s="32"/>
      <c r="DB224" s="32"/>
      <c r="DC224" s="32"/>
      <c r="DD224" s="32"/>
      <c r="DE224" s="32"/>
      <c r="DF224" s="32"/>
      <c r="DG224" s="32"/>
    </row>
    <row r="225" spans="3:111" ht="20.350000000000001" customHeight="1" x14ac:dyDescent="0.45">
      <c r="C225" s="32"/>
      <c r="D225" s="32"/>
      <c r="E225" s="32"/>
      <c r="F225" s="32"/>
      <c r="G225" s="32"/>
      <c r="H225" s="32"/>
      <c r="I225" s="47" t="s">
        <v>59</v>
      </c>
      <c r="J225" s="32" cm="1">
        <f t="array" ref="J225">DeltaPutAmRR(C124, C125, C126, C127, 1, C128)</f>
        <v>-0.43798373840293614</v>
      </c>
      <c r="K225" s="32"/>
      <c r="L225" s="32">
        <f>J224</f>
        <v>6.108956313307</v>
      </c>
      <c r="M225" s="32"/>
      <c r="N225" s="32">
        <f>J225</f>
        <v>-0.43798373840293614</v>
      </c>
      <c r="O225" s="32"/>
      <c r="P225" s="32"/>
      <c r="Q225" s="32"/>
      <c r="R225" s="32"/>
      <c r="S225" s="32"/>
      <c r="T225" s="32"/>
      <c r="U225" s="32"/>
      <c r="V225" s="32"/>
      <c r="W225" s="32"/>
      <c r="X225" s="32"/>
      <c r="Y225" s="32"/>
      <c r="Z225" s="32"/>
      <c r="AA225" s="32"/>
      <c r="AB225" s="32"/>
      <c r="AC225" s="32"/>
      <c r="AD225" s="32"/>
      <c r="AE225" s="32"/>
      <c r="AF225" s="32"/>
      <c r="AG225" s="32"/>
      <c r="AH225" s="32"/>
      <c r="AI225" s="32"/>
      <c r="AJ225" s="32"/>
      <c r="AK225" s="32"/>
      <c r="AL225" s="32"/>
      <c r="AM225" s="32"/>
      <c r="AN225" s="32"/>
      <c r="AO225" s="32"/>
      <c r="AP225" s="32"/>
      <c r="AQ225" s="32"/>
      <c r="AR225" s="32"/>
      <c r="AS225" s="32"/>
      <c r="AT225" s="32"/>
      <c r="AU225" s="32"/>
      <c r="AV225" s="32"/>
      <c r="AW225" s="32"/>
      <c r="AX225" s="32"/>
      <c r="AY225" s="32"/>
      <c r="AZ225" s="32"/>
      <c r="BA225" s="32"/>
      <c r="BB225" s="32"/>
      <c r="BC225" s="32"/>
      <c r="BD225" s="32"/>
      <c r="BE225" s="32"/>
      <c r="BF225" s="32"/>
      <c r="BG225" s="32"/>
      <c r="BH225" s="32"/>
      <c r="BI225" s="32"/>
      <c r="BJ225" s="32"/>
      <c r="BK225" s="32"/>
      <c r="BL225" s="32"/>
      <c r="BM225" s="32"/>
      <c r="BN225" s="32"/>
      <c r="BO225" s="32"/>
      <c r="BP225" s="32"/>
      <c r="BQ225" s="32"/>
      <c r="BR225" s="32"/>
      <c r="BS225" s="32"/>
      <c r="BT225" s="32"/>
      <c r="BU225" s="32"/>
      <c r="BV225" s="32"/>
      <c r="BW225" s="32"/>
      <c r="BX225" s="32"/>
      <c r="BY225" s="32"/>
      <c r="BZ225" s="32"/>
      <c r="CA225" s="32"/>
      <c r="CB225" s="32"/>
      <c r="CC225" s="32"/>
      <c r="CD225" s="32"/>
      <c r="CE225" s="32"/>
      <c r="CF225" s="32"/>
      <c r="CG225" s="32"/>
      <c r="CH225" s="32"/>
      <c r="CI225" s="32"/>
      <c r="CJ225" s="32"/>
      <c r="CK225" s="32"/>
      <c r="CL225" s="32"/>
      <c r="CM225" s="32"/>
      <c r="CN225" s="32"/>
      <c r="CO225" s="32"/>
      <c r="CP225" s="32"/>
      <c r="CQ225" s="32"/>
      <c r="CR225" s="32"/>
      <c r="CS225" s="32"/>
      <c r="CT225" s="32"/>
      <c r="CU225" s="32"/>
      <c r="CV225" s="32"/>
      <c r="CW225" s="32"/>
      <c r="CX225" s="32"/>
      <c r="CY225" s="32"/>
      <c r="CZ225" s="32"/>
      <c r="DA225" s="32"/>
      <c r="DB225" s="32"/>
      <c r="DC225" s="32"/>
      <c r="DD225" s="32"/>
      <c r="DE225" s="32"/>
      <c r="DF225" s="32"/>
      <c r="DG225" s="32"/>
    </row>
    <row r="226" spans="3:111" ht="20.350000000000001" customHeight="1" x14ac:dyDescent="0.45">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2"/>
      <c r="AB226" s="32"/>
      <c r="AC226" s="32"/>
      <c r="AD226" s="32"/>
      <c r="AE226" s="32"/>
      <c r="AF226" s="32"/>
      <c r="AG226" s="32"/>
      <c r="AH226" s="32"/>
      <c r="AI226" s="32"/>
      <c r="AJ226" s="32"/>
      <c r="AK226" s="32"/>
      <c r="AL226" s="32"/>
      <c r="AM226" s="32"/>
      <c r="AN226" s="32"/>
      <c r="AO226" s="32"/>
      <c r="AP226" s="32"/>
      <c r="AQ226" s="32"/>
      <c r="AR226" s="32"/>
      <c r="AS226" s="32"/>
      <c r="AT226" s="32"/>
      <c r="AU226" s="32"/>
      <c r="AV226" s="32"/>
      <c r="AW226" s="32"/>
      <c r="AX226" s="32"/>
      <c r="AY226" s="32"/>
      <c r="AZ226" s="32"/>
      <c r="BA226" s="32"/>
      <c r="BB226" s="32"/>
      <c r="BC226" s="32"/>
      <c r="BD226" s="32"/>
      <c r="BE226" s="32"/>
      <c r="BF226" s="32"/>
      <c r="BG226" s="32"/>
      <c r="BH226" s="32"/>
      <c r="BI226" s="32"/>
      <c r="BJ226" s="32"/>
      <c r="BK226" s="32"/>
      <c r="BL226" s="32"/>
      <c r="BM226" s="32"/>
      <c r="BN226" s="32"/>
      <c r="BO226" s="32"/>
      <c r="BP226" s="32"/>
      <c r="BQ226" s="32"/>
      <c r="BR226" s="32"/>
      <c r="BS226" s="32"/>
      <c r="BT226" s="32"/>
      <c r="BU226" s="32"/>
      <c r="BV226" s="32"/>
      <c r="BW226" s="32"/>
      <c r="BX226" s="32"/>
      <c r="BY226" s="32"/>
      <c r="BZ226" s="32"/>
      <c r="CA226" s="32"/>
      <c r="CB226" s="32"/>
      <c r="CC226" s="32"/>
      <c r="CD226" s="32"/>
      <c r="CE226" s="32"/>
      <c r="CF226" s="32"/>
      <c r="CG226" s="32"/>
      <c r="CH226" s="32"/>
      <c r="CI226" s="32"/>
      <c r="CJ226" s="32"/>
      <c r="CK226" s="32"/>
      <c r="CL226" s="32"/>
      <c r="CM226" s="32"/>
      <c r="CN226" s="32"/>
      <c r="CO226" s="32"/>
      <c r="CP226" s="32"/>
      <c r="CQ226" s="32"/>
      <c r="CR226" s="32"/>
      <c r="CS226" s="32"/>
      <c r="CT226" s="32"/>
      <c r="CU226" s="32"/>
      <c r="CV226" s="32"/>
      <c r="CW226" s="32"/>
      <c r="CX226" s="32"/>
      <c r="CY226" s="32"/>
      <c r="CZ226" s="32"/>
      <c r="DA226" s="32"/>
      <c r="DB226" s="32"/>
      <c r="DC226" s="32"/>
      <c r="DD226" s="32"/>
      <c r="DE226" s="32"/>
      <c r="DF226" s="32"/>
      <c r="DG226" s="32"/>
    </row>
    <row r="227" spans="3:111" ht="20.350000000000001" customHeight="1" x14ac:dyDescent="0.45">
      <c r="C227" s="47" t="s">
        <v>71</v>
      </c>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2"/>
      <c r="AB227" s="32"/>
      <c r="AC227" s="32"/>
      <c r="AD227" s="32"/>
      <c r="AE227" s="32"/>
      <c r="AF227" s="32"/>
      <c r="AG227" s="32"/>
      <c r="AH227" s="32"/>
      <c r="AI227" s="32"/>
      <c r="AJ227" s="32"/>
      <c r="AK227" s="32"/>
      <c r="AL227" s="32"/>
      <c r="AM227" s="32"/>
      <c r="AN227" s="32"/>
      <c r="AO227" s="32"/>
      <c r="AP227" s="32"/>
      <c r="AQ227" s="12"/>
      <c r="AR227" s="32"/>
      <c r="AS227" s="32"/>
      <c r="AT227" s="32"/>
      <c r="AU227" s="32"/>
      <c r="AV227" s="32"/>
      <c r="AW227" s="32"/>
      <c r="AX227" s="32"/>
      <c r="AY227" s="32"/>
      <c r="AZ227" s="32"/>
      <c r="BA227" s="32"/>
      <c r="BB227" s="32"/>
      <c r="BC227" s="32"/>
      <c r="BD227" s="32"/>
      <c r="BE227" s="32"/>
      <c r="BF227" s="32"/>
      <c r="BG227" s="32"/>
      <c r="BH227" s="32"/>
      <c r="BI227" s="32"/>
      <c r="BJ227" s="32"/>
      <c r="BK227" s="32"/>
      <c r="BL227" s="32"/>
      <c r="BM227" s="32"/>
      <c r="BN227" s="32"/>
      <c r="BO227" s="32"/>
      <c r="BP227" s="32"/>
      <c r="BQ227" s="32"/>
      <c r="BR227" s="32"/>
      <c r="BS227" s="32"/>
      <c r="BT227" s="32"/>
      <c r="BU227" s="32"/>
      <c r="BV227" s="32"/>
      <c r="BW227" s="32"/>
      <c r="BX227" s="32"/>
      <c r="BY227" s="32"/>
      <c r="BZ227" s="32"/>
      <c r="CA227" s="32"/>
      <c r="CB227" s="32"/>
      <c r="CC227" s="32"/>
      <c r="CD227" s="32"/>
      <c r="CE227" s="32"/>
      <c r="CF227" s="32"/>
      <c r="CG227" s="32"/>
      <c r="CH227" s="32"/>
      <c r="CI227" s="32"/>
      <c r="CJ227" s="32"/>
      <c r="CK227" s="32"/>
      <c r="CL227" s="32"/>
      <c r="CM227" s="32"/>
      <c r="CN227" s="32"/>
      <c r="CO227" s="32"/>
      <c r="CP227" s="32"/>
      <c r="CQ227" s="32"/>
      <c r="CR227" s="32"/>
      <c r="CS227" s="32"/>
      <c r="CT227" s="32"/>
      <c r="CU227" s="32"/>
      <c r="CV227" s="32"/>
      <c r="CW227" s="32"/>
      <c r="CX227" s="32"/>
      <c r="CY227" s="32"/>
      <c r="CZ227" s="32"/>
      <c r="DA227" s="32"/>
      <c r="DB227" s="32"/>
      <c r="DC227" s="32"/>
      <c r="DD227" s="32"/>
      <c r="DE227" s="32"/>
      <c r="DF227" s="32"/>
      <c r="DG227" s="32"/>
    </row>
    <row r="228" spans="3:111" ht="20.350000000000001" customHeight="1" x14ac:dyDescent="0.45">
      <c r="C228" s="47" t="s">
        <v>38</v>
      </c>
      <c r="D228" s="32" cm="1">
        <f t="array" ref="D228">PriceCallDigit($C124,$C125,$C126,$C127,D175,$C128)</f>
        <v>0.71386079714455697</v>
      </c>
      <c r="E228" s="32" cm="1">
        <f t="array" ref="E228">PriceCallDigit($C124,$C125,$C126,$C127,E175,$C128)</f>
        <v>0.4758107506795724</v>
      </c>
      <c r="F228" s="32" cm="1">
        <f t="array" ref="F228">PriceCallDigit($C124,$C125,$C126,$C127,F175,$C128)</f>
        <v>0.65417293921179276</v>
      </c>
      <c r="G228" s="32" cm="1">
        <f t="array" ref="G228">PriceCallDigit($C124,$C125,$C126,$C127,G175,$C128)</f>
        <v>0.47573284380337444</v>
      </c>
      <c r="H228" s="32" cm="1">
        <f t="array" ref="H228">PriceCallDigit($C124,$C125,$C126,$C127,H175,$C128)</f>
        <v>0.62437365610596518</v>
      </c>
      <c r="I228" s="32" cm="1">
        <f t="array" ref="I228">PriceCallDigit($C124,$C125,$C126,$C127,I175,$C128)</f>
        <v>0.47569924868092101</v>
      </c>
      <c r="J228" s="32" cm="1">
        <f t="array" ref="J228">PriceCallDigit($C124,$C125,$C126,$C127,J175,$C128)</f>
        <v>0.60575986024106143</v>
      </c>
      <c r="K228" s="32" cm="1">
        <f t="array" ref="K228">PriceCallDigit($C124,$C125,$C126,$C127,K175,$C128)</f>
        <v>0.47568053076017092</v>
      </c>
      <c r="L228" s="32" cm="1">
        <f t="array" ref="L228">PriceCallDigit($C124,$C125,$C126,$C127,L175,$C128)</f>
        <v>0.592734361488372</v>
      </c>
      <c r="M228" s="32" cm="1">
        <f t="array" ref="M228">PriceCallDigit($C124,$C125,$C126,$C127,M175,$C128)</f>
        <v>0.4756685992063478</v>
      </c>
      <c r="N228" s="32" cm="1">
        <f t="array" ref="N228">PriceCallDigit($C124,$C125,$C126,$C127,N175,$C128)</f>
        <v>0.58296725745565958</v>
      </c>
      <c r="O228" s="32" cm="1">
        <f t="array" ref="O228">PriceCallDigit($C124,$C125,$C126,$C127,O175,$C128)</f>
        <v>0.47566032969693967</v>
      </c>
      <c r="P228" s="32" cm="1">
        <f t="array" ref="P228">PriceCallDigit($C124,$C125,$C126,$C127,P175,$C128)</f>
        <v>0.57529423067887897</v>
      </c>
      <c r="Q228" s="32" cm="1">
        <f t="array" ref="Q228">PriceCallDigit($C124,$C125,$C126,$C127,Q175,$C128)</f>
        <v>0.47565426059669125</v>
      </c>
      <c r="R228" s="32" cm="1">
        <f t="array" ref="R228">PriceCallDigit($C124,$C125,$C126,$C127,R175,$C128)</f>
        <v>0.56906058578148788</v>
      </c>
      <c r="S228" s="32" cm="1">
        <f t="array" ref="S228">PriceCallDigit($C124,$C125,$C126,$C127,S175,$C128)</f>
        <v>0.47564961678010831</v>
      </c>
      <c r="T228" s="32" cm="1">
        <f t="array" ref="T228">PriceCallDigit($C124,$C125,$C126,$C127,T175,$C128)</f>
        <v>0.56386633295630317</v>
      </c>
      <c r="U228" s="32" cm="1">
        <f t="array" ref="U228">PriceCallDigit($C124,$C125,$C126,$C127,U175,$C128)</f>
        <v>0.47564594893027301</v>
      </c>
      <c r="V228" s="32" cm="1">
        <f t="array" ref="V228">PriceCallDigit($C124,$C125,$C126,$C127,V175,$C128)</f>
        <v>0.55945152890200922</v>
      </c>
      <c r="W228" s="32" cm="1">
        <f t="array" ref="W228">PriceCallDigit($C124,$C125,$C126,$C127,W175,$C128)</f>
        <v>0.47564297863276594</v>
      </c>
      <c r="X228" s="32" cm="1">
        <f t="array" ref="X228">PriceCallDigit($C124,$C125,$C126,$C127,X175,$C128)</f>
        <v>0.55563896645095989</v>
      </c>
      <c r="Y228" s="32" cm="1">
        <f t="array" ref="Y228">PriceCallDigit($C124,$C125,$C126,$C127,Y175,$C128)</f>
        <v>0.47564052417560843</v>
      </c>
      <c r="Z228" s="32" cm="1">
        <f t="array" ref="Z228">PriceCallDigit($C124,$C125,$C126,$C127,Z175,$C128)</f>
        <v>0.55230313933435449</v>
      </c>
      <c r="AA228" s="32" cm="1">
        <f t="array" ref="AA228">PriceCallDigit($C124,$C125,$C126,$C127,AA175,$C128)</f>
        <v>0.47563846191875331</v>
      </c>
      <c r="AB228" s="32" cm="1">
        <f t="array" ref="AB228">PriceCallDigit($C124,$C125,$C126,$C127,AB175,$C128)</f>
        <v>0.54935234083396811</v>
      </c>
      <c r="AC228" s="32" cm="1">
        <f t="array" ref="AC228">PriceCallDigit($C124,$C125,$C126,$C127,AC175,$C128)</f>
        <v>0.47563670481195774</v>
      </c>
      <c r="AD228" s="32" cm="1">
        <f t="array" ref="AD228">PriceCallDigit($C124,$C125,$C126,$C127,AD175,$C128)</f>
        <v>0.54671779688332933</v>
      </c>
      <c r="AE228" s="32" cm="1">
        <f t="array" ref="AE228">PriceCallDigit($C124,$C125,$C126,$C127,AE175,$C128)</f>
        <v>0.47563518979180408</v>
      </c>
      <c r="AF228" s="32" cm="1">
        <f t="array" ref="AF228">PriceCallDigit($C124,$C125,$C126,$C127,AF175,$C128)</f>
        <v>0.54434678463594388</v>
      </c>
      <c r="AG228" s="32" cm="1">
        <f t="array" ref="AG228">PriceCallDigit($C124,$C125,$C126,$C127,AG175,$C128)</f>
        <v>0.47563387005216884</v>
      </c>
      <c r="AH228" s="32" cm="1">
        <f t="array" ref="AH228">PriceCallDigit($C124,$C125,$C126,$C127,AH175,$C128)</f>
        <v>0.54219811704757681</v>
      </c>
      <c r="AI228" s="32" cm="1">
        <f t="array" ref="AI228">PriceCallDigit($C124,$C125,$C126,$C127,AI175,$C128)</f>
        <v>0.47563271012264707</v>
      </c>
      <c r="AJ228" s="32" cm="1">
        <f t="array" ref="AJ228">PriceCallDigit($C124,$C125,$C126,$C127,AJ175,$C128)</f>
        <v>0.54023908863302594</v>
      </c>
      <c r="AK228" s="32" cm="1">
        <f t="array" ref="AK228">PriceCallDigit($C124,$C125,$C126,$C127,AK175,$C128)</f>
        <v>0.47563168263277605</v>
      </c>
      <c r="AL228" s="32" cm="1">
        <f t="array" ref="AL228">PriceCallDigit($C124,$C125,$C126,$C127,AL175,$C128)</f>
        <v>0.53844335464797721</v>
      </c>
      <c r="AM228" s="32" cm="1">
        <f t="array" ref="AM228">PriceCallDigit($C124,$C125,$C126,$C127,AM175,$C128)</f>
        <v>0.4756307661248142</v>
      </c>
      <c r="AN228" s="32" cm="1">
        <f t="array" ref="AN228">PriceCallDigit($C124,$C125,$C126,$C127,AN175,$C128)</f>
        <v>0.53678942430715193</v>
      </c>
      <c r="AO228" s="32" cm="1">
        <f t="array" ref="AO228">PriceCallDigit($C124,$C125,$C126,$C127,AO175,$C128)</f>
        <v>0.47562994353893095</v>
      </c>
      <c r="AP228" s="32" cm="1">
        <f t="array" ref="AP228">PriceCallDigit($C124,$C125,$C126,$C127,AP175,$C128)</f>
        <v>0.53525956844177036</v>
      </c>
      <c r="AQ228" s="32" cm="1">
        <f t="array" ref="AQ228">PriceCallDigit($C124,$C125,$C126,$C127,AQ175,$C128)</f>
        <v>0.47562920114137686</v>
      </c>
      <c r="AR228" s="32" cm="1">
        <f t="array" ref="AR228">PriceCallDigit($C124,$C125,$C126,$C127,AR175,$C128)</f>
        <v>0.53383901329588179</v>
      </c>
      <c r="AS228" s="32" cm="1">
        <f t="array" ref="AS228">PriceCallDigit($C124,$C125,$C126,$C127,AS175,$C128)</f>
        <v>0.47562852775158848</v>
      </c>
      <c r="AT228" s="32" cm="1">
        <f t="array" ref="AT228">PriceCallDigit($C124,$C125,$C126,$C127,AT175,$C128)</f>
        <v>0.53251533590685829</v>
      </c>
      <c r="AU228" s="32" cm="1">
        <f t="array" ref="AU228">PriceCallDigit($C124,$C125,$C126,$C127,AU175,$C128)</f>
        <v>0.58692873470959817</v>
      </c>
      <c r="AV228" s="32" cm="1">
        <f t="array" ref="AV228">PriceCallDigit($C124,$C125,$C126,$C127,AV175,$C128)</f>
        <v>0.5312780040917966</v>
      </c>
      <c r="AW228" s="32" cm="1">
        <f t="array" ref="AW228">PriceCallDigit($C124,$C125,$C126,$C127,AW175,$C128)</f>
        <v>0.58460927758794345</v>
      </c>
      <c r="AX228" s="32" cm="1">
        <f t="array" ref="AX228">PriceCallDigit($C124,$C125,$C126,$C127,AX175,$C128)</f>
        <v>0.53011802186984824</v>
      </c>
      <c r="AY228" s="32" cm="1">
        <f t="array" ref="AY228">PriceCallDigit($C124,$C125,$C126,$C127,AY175,$C128)</f>
        <v>0.58242900771862527</v>
      </c>
      <c r="AZ228" s="32" cm="1">
        <f t="array" ref="AZ228">PriceCallDigit($C124,$C125,$C126,$C127,AZ175,$C128)</f>
        <v>0.5290276529032365</v>
      </c>
      <c r="BA228" s="32" cm="1">
        <f t="array" ref="BA228">PriceCallDigit($C124,$C125,$C126,$C127,BA175,$C128)</f>
        <v>0.58037453999027067</v>
      </c>
      <c r="BB228" s="32" cm="1">
        <f t="array" ref="BB228">PriceCallDigit($C124,$C125,$C126,$C127,BB175,$C128)</f>
        <v>0.52800020244947743</v>
      </c>
      <c r="BC228" s="32" cm="1">
        <f t="array" ref="BC228">PriceCallDigit($C124,$C125,$C126,$C127,BC175,$C128)</f>
        <v>0.57843422460877358</v>
      </c>
      <c r="BD228" s="32" cm="1">
        <f t="array" ref="BD228">PriceCallDigit($C124,$C125,$C126,$C127,BD175,$C128)</f>
        <v>0.52702984373697892</v>
      </c>
      <c r="BE228" s="32" cm="1">
        <f t="array" ref="BE228">PriceCallDigit($C124,$C125,$C126,$C127,BE175,$C128)</f>
        <v>0.57659786817453307</v>
      </c>
      <c r="BF228" s="32" cm="1">
        <f t="array" ref="BF228">PriceCallDigit($C124,$C125,$C126,$C127,BF175,$C128)</f>
        <v>0.52611147845000028</v>
      </c>
      <c r="BG228" s="32" cm="1">
        <f t="array" ref="BG228">PriceCallDigit($C124,$C125,$C126,$C127,BG175,$C128)</f>
        <v>0.57485650766484586</v>
      </c>
      <c r="BH228" s="32" cm="1">
        <f t="array" ref="BH228">PriceCallDigit($C124,$C125,$C126,$C127,BH175,$C128)</f>
        <v>0.52524062367687796</v>
      </c>
      <c r="BI228" s="32" cm="1">
        <f t="array" ref="BI228">PriceCallDigit($C124,$C125,$C126,$C127,BI175,$C128)</f>
        <v>0.57320222585736391</v>
      </c>
      <c r="BJ228" s="32" cm="1">
        <f t="array" ref="BJ228">PriceCallDigit($C124,$C125,$C126,$C127,BJ175,$C128)</f>
        <v>0.52441331958700399</v>
      </c>
      <c r="BK228" s="32" cm="1">
        <f t="array" ref="BK228">PriceCallDigit($C124,$C125,$C126,$C127,BK175,$C128)</f>
        <v>0.57162799950447885</v>
      </c>
      <c r="BL228" s="32" cm="1">
        <f t="array" ref="BL228">PriceCallDigit($C124,$C125,$C126,$C127,BL175,$C128)</f>
        <v>0.52362605348981672</v>
      </c>
      <c r="BM228" s="32" cm="1">
        <f t="array" ref="BM228">PriceCallDigit($C124,$C125,$C126,$C127,BM175,$C128)</f>
        <v>0.57012757360532429</v>
      </c>
      <c r="BN228" s="32" cm="1">
        <f t="array" ref="BN228">PriceCallDigit($C124,$C125,$C126,$C127,BN175,$C128)</f>
        <v>0.52287569694768099</v>
      </c>
      <c r="BO228" s="32" cm="1">
        <f t="array" ref="BO228">PriceCallDigit($C124,$C125,$C126,$C127,BO175,$C128)</f>
        <v>0.56869535663457105</v>
      </c>
      <c r="BP228" s="32" cm="1">
        <f t="array" ref="BP228">PriceCallDigit($C124,$C125,$C126,$C127,BP175,$C128)</f>
        <v>0.52215945337123792</v>
      </c>
      <c r="BQ228" s="32" cm="1">
        <f t="array" ref="BQ228">PriceCallDigit($C124,$C125,$C126,$C127,BQ175,$C128)</f>
        <v>0.56732633272109267</v>
      </c>
      <c r="BR228" s="32" cm="1">
        <f t="array" ref="BR228">PriceCallDigit($C124,$C125,$C126,$C127,BR175,$C128)</f>
        <v>0.52147481409292795</v>
      </c>
      <c r="BS228" s="32" cm="1">
        <f t="array" ref="BS228">PriceCallDigit($C124,$C125,$C126,$C127,BS175,$C128)</f>
        <v>0.56601598762837024</v>
      </c>
      <c r="BT228" s="32" cm="1">
        <f t="array" ref="BT228">PriceCallDigit($C124,$C125,$C126,$C127,BT175,$C128)</f>
        <v>0.52081952134406617</v>
      </c>
      <c r="BU228" s="32" cm="1">
        <f t="array" ref="BU228">PriceCallDigit($C124,$C125,$C126,$C127,BU175,$C128)</f>
        <v>0.56476024604453157</v>
      </c>
      <c r="BV228" s="32" cm="1">
        <f t="array" ref="BV228">PriceCallDigit($C124,$C125,$C126,$C127,BV175,$C128)</f>
        <v>0.52019153688878128</v>
      </c>
      <c r="BW228" s="32" cm="1">
        <f t="array" ref="BW228">PriceCallDigit($C124,$C125,$C126,$C127,BW175,$C128)</f>
        <v>0.56355541819492838</v>
      </c>
      <c r="BX228" s="32" cm="1">
        <f t="array" ref="BX228">PriceCallDigit($C124,$C125,$C126,$C127,BX175,$C128)</f>
        <v>0.51958901532107538</v>
      </c>
      <c r="BY228" s="32" cm="1">
        <f t="array" ref="BY228">PriceCallDigit($C124,$C125,$C126,$C127,BY175,$C128)</f>
        <v>0.56239815418243733</v>
      </c>
      <c r="BZ228" s="32" cm="1">
        <f t="array" ref="BZ228">PriceCallDigit($C124,$C125,$C126,$C127,BZ175,$C128)</f>
        <v>0.51901028122705262</v>
      </c>
      <c r="CA228" s="32" cm="1">
        <f t="array" ref="CA228">PriceCallDigit($C124,$C125,$C126,$C127,CA175,$C128)</f>
        <v>0.56128540476758682</v>
      </c>
      <c r="CB228" s="32" cm="1">
        <f t="array" ref="CB228">PriceCallDigit($C124,$C125,$C126,$C127,CB175,$C128)</f>
        <v>0.51845380956834242</v>
      </c>
      <c r="CC228" s="32" cm="1">
        <f t="array" ref="CC228">PriceCallDigit($C124,$C125,$C126,$C127,CC175,$C128)</f>
        <v>0.56021438754179043</v>
      </c>
      <c r="CD228" s="32" cm="1">
        <f t="array" ref="CD228">PriceCallDigit($C124,$C125,$C126,$C127,CD175,$C128)</f>
        <v>0.51791820876299766</v>
      </c>
      <c r="CE228" s="32" cm="1">
        <f t="array" ref="CE228">PriceCallDigit($C124,$C125,$C126,$C127,CE175,$C128)</f>
        <v>0.55918255763867508</v>
      </c>
      <c r="CF228" s="32" cm="1">
        <f t="array" ref="CF228">PriceCallDigit($C124,$C125,$C126,$C127,CF175,$C128)</f>
        <v>0.51740220603628284</v>
      </c>
      <c r="CG228" s="32" cm="1">
        <f t="array" ref="CG228">PriceCallDigit($C124,$C125,$C126,$C127,CG175,$C128)</f>
        <v>0.55818758228116327</v>
      </c>
      <c r="CH228" s="32" cm="1">
        <f t="array" ref="CH228">PriceCallDigit($C124,$C125,$C126,$C127,CH175,$C128)</f>
        <v>0.51690463468995373</v>
      </c>
      <c r="CI228" s="32" cm="1">
        <f t="array" ref="CI228">PriceCallDigit($C124,$C125,$C126,$C127,CI175,$C128)</f>
        <v>0.55722731858434715</v>
      </c>
      <c r="CJ228" s="32" cm="1">
        <f t="array" ref="CJ228">PriceCallDigit($C124,$C125,$C126,$C127,CJ175,$C128)</f>
        <v>0.51642442300014724</v>
      </c>
      <c r="CK228" s="32" cm="1">
        <f t="array" ref="CK228">PriceCallDigit($C124,$C125,$C126,$C127,CK175,$C128)</f>
        <v>0.55629979413325747</v>
      </c>
      <c r="CL228" s="32" cm="1">
        <f t="array" ref="CL228">PriceCallDigit($C124,$C125,$C126,$C127,CL175,$C128)</f>
        <v>0.51596058450307825</v>
      </c>
      <c r="CM228" s="32" cm="1">
        <f t="array" ref="CM228">PriceCallDigit($C124,$C125,$C126,$C127,CM175,$C128)</f>
        <v>0.55540318993465498</v>
      </c>
      <c r="CN228" s="32" cm="1">
        <f t="array" ref="CN228">PriceCallDigit($C124,$C125,$C126,$C127,CN175,$C128)</f>
        <v>0.51551220946814835</v>
      </c>
      <c r="CO228" s="32" cm="1">
        <f t="array" ref="CO228">PriceCallDigit($C124,$C125,$C126,$C127,CO175,$C128)</f>
        <v>0.55453582540723689</v>
      </c>
      <c r="CP228" s="32" cm="1">
        <f t="array" ref="CP228">PriceCallDigit($C124,$C125,$C126,$C127,CP175,$C128)</f>
        <v>0.5150784573907834</v>
      </c>
      <c r="CQ228" s="32" cm="1">
        <f t="array" ref="CQ228">PriceCallDigit($C124,$C125,$C126,$C127,CQ175,$C128)</f>
        <v>0.55369614512853893</v>
      </c>
      <c r="CR228" s="32" cm="1">
        <f t="array" ref="CR228">PriceCallDigit($C124,$C125,$C126,$C127,CR175,$C128)</f>
        <v>0.51465855036367192</v>
      </c>
      <c r="CS228" s="32" cm="1">
        <f t="array" ref="CS228">PriceCallDigit($C124,$C125,$C126,$C127,CS175,$C128)</f>
        <v>0.55288270710045417</v>
      </c>
      <c r="CT228" s="32" cm="1">
        <f t="array" ref="CT228">PriceCallDigit($C124,$C125,$C126,$C127,CT175,$C128)</f>
        <v>0.51425176720776211</v>
      </c>
      <c r="CU228" s="32" cm="1">
        <f t="array" ref="CU228">PriceCallDigit($C124,$C125,$C126,$C127,CU175,$C128)</f>
        <v>0.55209417233204527</v>
      </c>
      <c r="CV228" s="32" cm="1">
        <f t="array" ref="CV228">PriceCallDigit($C124,$C125,$C126,$C127,CV175,$C128)</f>
        <v>0.51385743826204411</v>
      </c>
      <c r="CW228" s="32" cm="1">
        <f t="array" ref="CW228">PriceCallDigit($C124,$C125,$C126,$C127,CW175,$C128)</f>
        <v>0.55132929556821253</v>
      </c>
      <c r="CX228" s="32" cm="1">
        <f t="array" ref="CX228">PriceCallDigit($C124,$C125,$C126,$C127,CX175,$C128)</f>
        <v>0.51347494074647992</v>
      </c>
      <c r="CY228" s="32"/>
      <c r="CZ228" s="32"/>
      <c r="DA228" s="32"/>
      <c r="DB228" s="32"/>
      <c r="DC228" s="32"/>
      <c r="DD228" s="32"/>
      <c r="DE228" s="32"/>
      <c r="DF228" s="32"/>
      <c r="DG228" s="32"/>
    </row>
    <row r="229" spans="3:111" ht="20.350000000000001" customHeight="1" x14ac:dyDescent="0.45">
      <c r="C229" s="47" t="s">
        <v>49</v>
      </c>
      <c r="D229" s="32" cm="1">
        <f t="array" ref="D229">DeltaCallDigit($C124,$C125,$C126,$C127,D175,$C128)</f>
        <v>1.7246506858208478E-2</v>
      </c>
      <c r="E229" s="32" cm="1">
        <f t="array" ref="E229">DeltaCallDigit($C124,$C125,$C126,$C127,E175,$C128)</f>
        <v>2.0946596705347886E-2</v>
      </c>
      <c r="F229" s="32" cm="1">
        <f t="array" ref="F229">DeltaCallDigit($C124,$C125,$C126,$C127,F175,$C128)</f>
        <v>1.8064093662325635E-2</v>
      </c>
      <c r="G229" s="32" cm="1">
        <f t="array" ref="G229">DeltaCallDigit($C124,$C125,$C126,$C127,G175,$C128)</f>
        <v>2.014516289348196E-2</v>
      </c>
      <c r="H229" s="32" cm="1">
        <f t="array" ref="H229">DeltaCallDigit($C124,$C125,$C126,$C127,H175,$C128)</f>
        <v>1.8358831430730815E-2</v>
      </c>
      <c r="I229" s="32" cm="1">
        <f t="array" ref="I229">DeltaCallDigit($C124,$C125,$C126,$C127,I175,$C128)</f>
        <v>1.9805809088467456E-2</v>
      </c>
      <c r="J229" s="32" cm="1">
        <f t="array" ref="J229">DeltaCallDigit($C124,$C125,$C126,$C127,J175,$C128)</f>
        <v>1.8509804136324682E-2</v>
      </c>
      <c r="K229" s="32" cm="1">
        <f t="array" ref="K229">DeltaCallDigit($C124,$C125,$C126,$C127,K175,$C128)</f>
        <v>1.9618725015401586E-2</v>
      </c>
      <c r="L229" s="32" cm="1">
        <f t="array" ref="L229">DeltaCallDigit($C124,$C125,$C126,$C127,L175,$C128)</f>
        <v>1.8601417354631382E-2</v>
      </c>
      <c r="M229" s="32" cm="1">
        <f t="array" ref="M229">DeltaCallDigit($C124,$C125,$C126,$C127,M175,$C128)</f>
        <v>1.9500287158251285E-2</v>
      </c>
      <c r="N229" s="32" cm="1">
        <f t="array" ref="N229">DeltaCallDigit($C124,$C125,$C126,$C127,N175,$C128)</f>
        <v>1.8662887814212062E-2</v>
      </c>
      <c r="O229" s="32" cm="1">
        <f t="array" ref="O229">DeltaCallDigit($C124,$C125,$C126,$C127,O175,$C128)</f>
        <v>1.9418594624913132E-2</v>
      </c>
      <c r="P229" s="32" cm="1">
        <f t="array" ref="P229">DeltaCallDigit($C124,$C125,$C126,$C127,P175,$C128)</f>
        <v>1.870697712021618E-2</v>
      </c>
      <c r="Q229" s="32" cm="1">
        <f t="array" ref="Q229">DeltaCallDigit($C124,$C125,$C126,$C127,Q175,$C128)</f>
        <v>1.9358852277235716E-2</v>
      </c>
      <c r="R229" s="32" cm="1">
        <f t="array" ref="R229">DeltaCallDigit($C124,$C125,$C126,$C127,R175,$C128)</f>
        <v>1.8740138878254559E-2</v>
      </c>
      <c r="S229" s="32" cm="1">
        <f t="array" ref="S229">DeltaCallDigit($C124,$C125,$C126,$C127,S175,$C128)</f>
        <v>1.9313264772691987E-2</v>
      </c>
      <c r="T229" s="32" cm="1">
        <f t="array" ref="T229">DeltaCallDigit($C124,$C125,$C126,$C127,T175,$C128)</f>
        <v>1.8765985413816817E-2</v>
      </c>
      <c r="U229" s="32" cm="1">
        <f t="array" ref="U229">DeltaCallDigit($C124,$C125,$C126,$C127,U175,$C128)</f>
        <v>1.9277336068782982E-2</v>
      </c>
      <c r="V229" s="32" cm="1">
        <f t="array" ref="V229">DeltaCallDigit($C124,$C125,$C126,$C127,V175,$C128)</f>
        <v>1.8786695652885353E-2</v>
      </c>
      <c r="W229" s="32" cm="1">
        <f t="array" ref="W229">DeltaCallDigit($C124,$C125,$C126,$C127,W175,$C128)</f>
        <v>1.92482914131108E-2</v>
      </c>
      <c r="X229" s="32" cm="1">
        <f t="array" ref="X229">DeltaCallDigit($C124,$C125,$C126,$C127,X175,$C128)</f>
        <v>1.8803661661333262E-2</v>
      </c>
      <c r="Y229" s="32" cm="1">
        <f t="array" ref="Y229">DeltaCallDigit($C124,$C125,$C126,$C127,Y175,$C128)</f>
        <v>1.9224325750942534E-2</v>
      </c>
      <c r="Z229" s="32" cm="1">
        <f t="array" ref="Z229">DeltaCallDigit($C124,$C125,$C126,$C127,Z175,$C128)</f>
        <v>1.8817814307140805E-2</v>
      </c>
      <c r="AA229" s="32" cm="1">
        <f t="array" ref="AA229">DeltaCallDigit($C124,$C125,$C126,$C127,AA175,$C128)</f>
        <v>1.9204214242542157E-2</v>
      </c>
      <c r="AB229" s="32" cm="1">
        <f t="array" ref="AB229">DeltaCallDigit($C124,$C125,$C126,$C127,AB175,$C128)</f>
        <v>1.8829799592606545E-2</v>
      </c>
      <c r="AC229" s="32" cm="1">
        <f t="array" ref="AC229">DeltaCallDigit($C124,$C125,$C126,$C127,AC175,$C128)</f>
        <v>1.9187096514666852E-2</v>
      </c>
      <c r="AD229" s="32" cm="1">
        <f t="array" ref="AD229">DeltaCallDigit($C124,$C125,$C126,$C127,AD175,$C128)</f>
        <v>1.8840079851790075E-2</v>
      </c>
      <c r="AE229" s="32" cm="1">
        <f t="array" ref="AE229">DeltaCallDigit($C124,$C125,$C126,$C127,AE175,$C128)</f>
        <v>1.9172350503201457E-2</v>
      </c>
      <c r="AF229" s="32" cm="1">
        <f t="array" ref="AF229">DeltaCallDigit($C124,$C125,$C126,$C127,AF175,$C128)</f>
        <v>1.8848994679071432E-2</v>
      </c>
      <c r="AG229" s="32" cm="1">
        <f t="array" ref="AG229">DeltaCallDigit($C124,$C125,$C126,$C127,AG175,$C128)</f>
        <v>1.9159515298133884E-2</v>
      </c>
      <c r="AH229" s="32" cm="1">
        <f t="array" ref="AH229">DeltaCallDigit($C124,$C125,$C126,$C127,AH175,$C128)</f>
        <v>1.8856799117132107E-2</v>
      </c>
      <c r="AI229" s="32" cm="1">
        <f t="array" ref="AI229">DeltaCallDigit($C124,$C125,$C126,$C127,AI175,$C128)</f>
        <v>1.914824213771318E-2</v>
      </c>
      <c r="AJ229" s="32" cm="1">
        <f t="array" ref="AJ229">DeltaCallDigit($C124,$C125,$C126,$C127,AJ175,$C128)</f>
        <v>1.8863688424907012E-2</v>
      </c>
      <c r="AK229" s="32" cm="1">
        <f t="array" ref="AK229">DeltaCallDigit($C124,$C125,$C126,$C127,AK175,$C128)</f>
        <v>1.9138262258256412E-2</v>
      </c>
      <c r="AL229" s="32" cm="1">
        <f t="array" ref="AL229">DeltaCallDigit($C124,$C125,$C126,$C127,AL175,$C128)</f>
        <v>1.886981462231696E-2</v>
      </c>
      <c r="AM229" s="32" cm="1">
        <f t="array" ref="AM229">DeltaCallDigit($C124,$C125,$C126,$C127,AM175,$C128)</f>
        <v>1.9129365203172932E-2</v>
      </c>
      <c r="AN229" s="32" cm="1">
        <f t="array" ref="AN229">DeltaCallDigit($C124,$C125,$C126,$C127,AN175,$C128)</f>
        <v>1.8875297829554816E-2</v>
      </c>
      <c r="AO229" s="32" cm="1">
        <f t="array" ref="AO229">DeltaCallDigit($C124,$C125,$C126,$C127,AO175,$C128)</f>
        <v>1.9121383825981091E-2</v>
      </c>
      <c r="AP229" s="32" cm="1">
        <f t="array" ref="AP229">DeltaCallDigit($C124,$C125,$C126,$C127,AP175,$C128)</f>
        <v>1.888023421622758E-2</v>
      </c>
      <c r="AQ229" s="32" cm="1">
        <f t="array" ref="AQ229">DeltaCallDigit($C124,$C125,$C126,$C127,AQ175,$C128)</f>
        <v>1.9114183695287817E-2</v>
      </c>
      <c r="AR229" s="32" cm="1">
        <f t="array" ref="AR229">DeltaCallDigit($C124,$C125,$C126,$C127,AR175,$C128)</f>
        <v>1.8884701686584404E-2</v>
      </c>
      <c r="AS229" s="32" cm="1">
        <f t="array" ref="AS229">DeltaCallDigit($C124,$C125,$C126,$C127,AS175,$C128)</f>
        <v>1.9107655464720787E-2</v>
      </c>
      <c r="AT229" s="32" cm="1">
        <f t="array" ref="AT229">DeltaCallDigit($C124,$C125,$C126,$C127,AT175,$C128)</f>
        <v>1.8888764018885534E-2</v>
      </c>
      <c r="AU229" s="32" cm="1">
        <f t="array" ref="AU229">DeltaCallDigit($C124,$C125,$C126,$C127,AU175,$C128)</f>
        <v>1.8271200183739119E-2</v>
      </c>
      <c r="AV229" s="32" cm="1">
        <f t="array" ref="AV229">DeltaCallDigit($C124,$C125,$C126,$C127,AV175,$C128)</f>
        <v>1.8892473927993064E-2</v>
      </c>
      <c r="AW229" s="32" cm="1">
        <f t="array" ref="AW229">DeltaCallDigit($C124,$C125,$C126,$C127,AW175,$C128)</f>
        <v>1.8300592691806599E-2</v>
      </c>
      <c r="AX229" s="32" cm="1">
        <f t="array" ref="AX229">DeltaCallDigit($C124,$C125,$C126,$C127,AX175,$C128)</f>
        <v>1.8895875364361932E-2</v>
      </c>
      <c r="AY229" s="32" cm="1">
        <f t="array" ref="AY229">DeltaCallDigit($C124,$C125,$C126,$C127,AY175,$C128)</f>
        <v>1.8327626115335834E-2</v>
      </c>
      <c r="AZ229" s="32" cm="1">
        <f t="array" ref="AZ229">DeltaCallDigit($C124,$C125,$C126,$C127,AZ175,$C128)</f>
        <v>1.889900526267322E-2</v>
      </c>
      <c r="BA229" s="32" cm="1">
        <f t="array" ref="BA229">DeltaCallDigit($C124,$C125,$C126,$C127,BA175,$C128)</f>
        <v>1.8352573530752026E-2</v>
      </c>
      <c r="BB229" s="32" cm="1">
        <f t="array" ref="BB229">DeltaCallDigit($C124,$C125,$C126,$C127,BB175,$C128)</f>
        <v>1.8901894887907215E-2</v>
      </c>
      <c r="BC229" s="32" cm="1">
        <f t="array" ref="BC229">DeltaCallDigit($C124,$C125,$C126,$C127,BC175,$C128)</f>
        <v>1.837566743090864E-2</v>
      </c>
      <c r="BD229" s="32" cm="1">
        <f t="array" ref="BD229">DeltaCallDigit($C124,$C125,$C126,$C127,BD175,$C128)</f>
        <v>1.890457088297761E-2</v>
      </c>
      <c r="BE229" s="32" cm="1">
        <f t="array" ref="BE229">DeltaCallDigit($C124,$C125,$C126,$C127,BE175,$C128)</f>
        <v>1.8397106994680411E-2</v>
      </c>
      <c r="BF229" s="32" cm="1">
        <f t="array" ref="BF229">DeltaCallDigit($C124,$C125,$C126,$C127,BF175,$C128)</f>
        <v>1.890705609236279E-2</v>
      </c>
      <c r="BG229" s="32" cm="1">
        <f t="array" ref="BG229">DeltaCallDigit($C124,$C125,$C126,$C127,BG175,$C128)</f>
        <v>1.8417063847901156E-2</v>
      </c>
      <c r="BH229" s="32" cm="1">
        <f t="array" ref="BH229">DeltaCallDigit($C124,$C125,$C126,$C127,BH175,$C128)</f>
        <v>1.8909370215689763E-2</v>
      </c>
      <c r="BI229" s="32" cm="1">
        <f t="array" ref="BI229">DeltaCallDigit($C124,$C125,$C126,$C127,BI175,$C128)</f>
        <v>1.8435686668724964E-2</v>
      </c>
      <c r="BJ229" s="32" cm="1">
        <f t="array" ref="BJ229">DeltaCallDigit($C124,$C125,$C126,$C127,BJ175,$C128)</f>
        <v>1.8911530330860325E-2</v>
      </c>
      <c r="BK229" s="32" cm="1">
        <f t="array" ref="BK229">DeltaCallDigit($C124,$C125,$C126,$C127,BK175,$C128)</f>
        <v>1.8453104899106367E-2</v>
      </c>
      <c r="BL229" s="32" cm="1">
        <f t="array" ref="BL229">DeltaCallDigit($C124,$C125,$C126,$C127,BL175,$C128)</f>
        <v>1.8913551316125932E-2</v>
      </c>
      <c r="BM229" s="32" cm="1">
        <f t="array" ref="BM229">DeltaCallDigit($C124,$C125,$C126,$C127,BM175,$C128)</f>
        <v>1.8469431758476474E-2</v>
      </c>
      <c r="BN229" s="32" cm="1">
        <f t="array" ref="BN229">DeltaCallDigit($C124,$C125,$C126,$C127,BN175,$C128)</f>
        <v>1.8915446193167953E-2</v>
      </c>
      <c r="BO229" s="32" cm="1">
        <f t="array" ref="BO229">DeltaCallDigit($C124,$C125,$C126,$C127,BO175,$C128)</f>
        <v>1.8484766708038728E-2</v>
      </c>
      <c r="BP229" s="32" cm="1">
        <f t="array" ref="BP229">DeltaCallDigit($C124,$C125,$C126,$C127,BP175,$C128)</f>
        <v>1.8917226407911603E-2</v>
      </c>
      <c r="BQ229" s="32" cm="1">
        <f t="array" ref="BQ229">DeltaCallDigit($C124,$C125,$C126,$C127,BQ175,$C128)</f>
        <v>1.8499197479080968E-2</v>
      </c>
      <c r="BR229" s="32" cm="1">
        <f t="array" ref="BR229">DeltaCallDigit($C124,$C125,$C126,$C127,BR175,$C128)</f>
        <v>1.8918902061868571E-2</v>
      </c>
      <c r="BS229" s="32" cm="1">
        <f t="array" ref="BS229">DeltaCallDigit($C124,$C125,$C126,$C127,BS175,$C128)</f>
        <v>1.8512801752720021E-2</v>
      </c>
      <c r="BT229" s="32" cm="1">
        <f t="array" ref="BT229">DeltaCallDigit($C124,$C125,$C126,$C127,BT175,$C128)</f>
        <v>1.8920482103888737E-2</v>
      </c>
      <c r="BU229" s="32" cm="1">
        <f t="array" ref="BU229">DeltaCallDigit($C124,$C125,$C126,$C127,BU175,$C128)</f>
        <v>1.8525648559024301E-2</v>
      </c>
      <c r="BV229" s="32" cm="1">
        <f t="array" ref="BV229">DeltaCallDigit($C124,$C125,$C126,$C127,BV175,$C128)</f>
        <v>1.8921974490002103E-2</v>
      </c>
      <c r="BW229" s="32" cm="1">
        <f t="array" ref="BW229">DeltaCallDigit($C124,$C125,$C126,$C127,BW175,$C128)</f>
        <v>1.8537799448726324E-2</v>
      </c>
      <c r="BX229" s="32" cm="1">
        <f t="array" ref="BX229">DeltaCallDigit($C124,$C125,$C126,$C127,BX175,$C128)</f>
        <v>1.8923386317383457E-2</v>
      </c>
      <c r="BY229" s="32" cm="1">
        <f t="array" ref="BY229">DeltaCallDigit($C124,$C125,$C126,$C127,BY175,$C128)</f>
        <v>1.8549309479511306E-2</v>
      </c>
      <c r="BZ229" s="32" cm="1">
        <f t="array" ref="BZ229">DeltaCallDigit($C124,$C125,$C126,$C127,BZ175,$C128)</f>
        <v>1.892472393719271E-2</v>
      </c>
      <c r="CA229" s="32" cm="1">
        <f t="array" ref="CA229">DeltaCallDigit($C124,$C125,$C126,$C127,CA175,$C128)</f>
        <v>1.8560228050242048E-2</v>
      </c>
      <c r="CB229" s="32" cm="1">
        <f t="array" ref="CB229">DeltaCallDigit($C124,$C125,$C126,$C127,CB175,$C128)</f>
        <v>1.8925993050084629E-2</v>
      </c>
      <c r="CC229" s="32" cm="1">
        <f t="array" ref="CC229">DeltaCallDigit($C124,$C125,$C126,$C127,CC175,$C128)</f>
        <v>1.8570599609782825E-2</v>
      </c>
      <c r="CD229" s="32" cm="1">
        <f t="array" ref="CD229">DeltaCallDigit($C124,$C125,$C126,$C127,CD175,$C128)</f>
        <v>1.892719878740922E-2</v>
      </c>
      <c r="CE229" s="32" cm="1">
        <f t="array" ref="CE229">DeltaCallDigit($C124,$C125,$C126,$C127,CE175,$C128)</f>
        <v>1.8580464261880716E-2</v>
      </c>
      <c r="CF229" s="32" cm="1">
        <f t="array" ref="CF229">DeltaCallDigit($C124,$C125,$C126,$C127,CF175,$C128)</f>
        <v>1.8928345780547286E-2</v>
      </c>
      <c r="CG229" s="32" cm="1">
        <f t="array" ref="CG229">DeltaCallDigit($C124,$C125,$C126,$C127,CG175,$C128)</f>
        <v>1.8589858283461436E-2</v>
      </c>
      <c r="CH229" s="32" cm="1">
        <f t="array" ref="CH229">DeltaCallDigit($C124,$C125,$C126,$C127,CH175,$C128)</f>
        <v>1.8929438220351771E-2</v>
      </c>
      <c r="CI229" s="32" cm="1">
        <f t="array" ref="CI229">DeltaCallDigit($C124,$C125,$C126,$C127,CI175,$C128)</f>
        <v>1.8598814570463779E-2</v>
      </c>
      <c r="CJ229" s="32" cm="1">
        <f t="array" ref="CJ229">DeltaCallDigit($C124,$C125,$C126,$C127,CJ175,$C128)</f>
        <v>1.8930479908309039E-2</v>
      </c>
      <c r="CK229" s="32" cm="1">
        <f t="array" ref="CK229">DeltaCallDigit($C124,$C125,$C126,$C127,CK175,$C128)</f>
        <v>1.8607363022762318E-2</v>
      </c>
      <c r="CL229" s="32" cm="1">
        <f t="array" ref="CL229">DeltaCallDigit($C124,$C125,$C126,$C127,CL175,$C128)</f>
        <v>1.893147430073043E-2</v>
      </c>
      <c r="CM229" s="32" cm="1">
        <f t="array" ref="CM229">DeltaCallDigit($C124,$C125,$C126,$C127,CM175,$C128)</f>
        <v>1.8615530877674608E-2</v>
      </c>
      <c r="CN229" s="32" cm="1">
        <f t="array" ref="CN229">DeltaCallDigit($C124,$C125,$C126,$C127,CN175,$C128)</f>
        <v>1.8932424547057163E-2</v>
      </c>
      <c r="CO229" s="32" cm="1">
        <f t="array" ref="CO229">DeltaCallDigit($C124,$C125,$C126,$C127,CO175,$C128)</f>
        <v>1.8623342999883281E-2</v>
      </c>
      <c r="CP229" s="32" cm="1">
        <f t="array" ref="CP229">DeltaCallDigit($C124,$C125,$C126,$C127,CP175,$C128)</f>
        <v>1.893333352318011E-2</v>
      </c>
      <c r="CQ229" s="32" cm="1">
        <f t="array" ref="CQ229">DeltaCallDigit($C124,$C125,$C126,$C127,CQ175,$C128)</f>
        <v>1.863082213428657E-2</v>
      </c>
      <c r="CR229" s="32" cm="1">
        <f t="array" ref="CR229">DeltaCallDigit($C124,$C125,$C126,$C127,CR175,$C128)</f>
        <v>1.8934203860504525E-2</v>
      </c>
      <c r="CS229" s="32" cm="1">
        <f t="array" ref="CS229">DeltaCallDigit($C124,$C125,$C126,$C127,CS175,$C128)</f>
        <v>1.8637989127184833E-2</v>
      </c>
      <c r="CT229" s="32" cm="1">
        <f t="array" ref="CT229">DeltaCallDigit($C124,$C125,$C126,$C127,CT175,$C128)</f>
        <v>1.8935037971390452E-2</v>
      </c>
      <c r="CU229" s="32" cm="1">
        <f t="array" ref="CU229">DeltaCallDigit($C124,$C125,$C126,$C127,CU175,$C128)</f>
        <v>1.8644863120339149E-2</v>
      </c>
      <c r="CV229" s="32" cm="1">
        <f t="array" ref="CV229">DeltaCallDigit($C124,$C125,$C126,$C127,CV175,$C128)</f>
        <v>1.8935838071480447E-2</v>
      </c>
      <c r="CW229" s="32" cm="1">
        <f t="array" ref="CW229">DeltaCallDigit($C124,$C125,$C126,$C127,CW175,$C128)</f>
        <v>1.8651461721701852E-2</v>
      </c>
      <c r="CX229" s="32" cm="1">
        <f t="array" ref="CX229">DeltaCallDigit($C124,$C125,$C126,$C127,CX175,$C128)</f>
        <v>1.8936606199349851E-2</v>
      </c>
      <c r="CY229" s="32"/>
      <c r="CZ229" s="32"/>
      <c r="DA229" s="32"/>
      <c r="DB229" s="32"/>
      <c r="DC229" s="32"/>
      <c r="DD229" s="32"/>
      <c r="DE229" s="32"/>
      <c r="DF229" s="32"/>
      <c r="DG229" s="32"/>
    </row>
    <row r="230" spans="3:111" ht="20.350000000000001" customHeight="1" x14ac:dyDescent="0.45">
      <c r="C230" s="47" t="s">
        <v>50</v>
      </c>
      <c r="D230" s="32">
        <f>LOG(ABS(D228-$J233))</f>
        <v>-0.74103728191710461</v>
      </c>
      <c r="E230" s="32">
        <f t="shared" ref="E230:BP230" si="39">LOG(ABS(E228-$J233))</f>
        <v>-1.2478434549474584</v>
      </c>
      <c r="F230" s="32">
        <f t="shared" si="39"/>
        <v>-0.91418115378174425</v>
      </c>
      <c r="G230" s="32">
        <f t="shared" si="39"/>
        <v>-1.2472451750880371</v>
      </c>
      <c r="H230" s="32">
        <f t="shared" si="39"/>
        <v>-1.0359816770298429</v>
      </c>
      <c r="I230" s="32">
        <f t="shared" si="39"/>
        <v>-1.246987438046024</v>
      </c>
      <c r="J230" s="32">
        <f t="shared" si="39"/>
        <v>-1.1340966359208935</v>
      </c>
      <c r="K230" s="32">
        <f t="shared" si="39"/>
        <v>-1.2468439031218899</v>
      </c>
      <c r="L230" s="32">
        <f t="shared" si="39"/>
        <v>-1.2188944278925375</v>
      </c>
      <c r="M230" s="32">
        <f t="shared" si="39"/>
        <v>-1.2467524329525255</v>
      </c>
      <c r="N230" s="32">
        <f t="shared" si="39"/>
        <v>-1.2954853606056731</v>
      </c>
      <c r="O230" s="32">
        <f t="shared" si="39"/>
        <v>-1.2466890482002806</v>
      </c>
      <c r="P230" s="32">
        <f t="shared" si="39"/>
        <v>-1.3668405566310509</v>
      </c>
      <c r="Q230" s="32">
        <f t="shared" si="39"/>
        <v>-1.2466425351936015</v>
      </c>
      <c r="R230" s="32">
        <f t="shared" si="39"/>
        <v>-1.4349108488215834</v>
      </c>
      <c r="S230" s="32">
        <f t="shared" si="39"/>
        <v>-1.2466069487890783</v>
      </c>
      <c r="T230" s="32">
        <f t="shared" si="39"/>
        <v>-1.5011174160443597</v>
      </c>
      <c r="U230" s="32">
        <f t="shared" si="39"/>
        <v>-1.2465788434548459</v>
      </c>
      <c r="V230" s="32">
        <f t="shared" si="39"/>
        <v>-1.5666028202359121</v>
      </c>
      <c r="W230" s="32">
        <f t="shared" si="39"/>
        <v>-1.2465560845308243</v>
      </c>
      <c r="X230" s="32">
        <f t="shared" si="39"/>
        <v>-1.6323803950903029</v>
      </c>
      <c r="Y230" s="32">
        <f t="shared" si="39"/>
        <v>-1.2465372789631013</v>
      </c>
      <c r="Z230" s="32">
        <f t="shared" si="39"/>
        <v>-1.6994409505417165</v>
      </c>
      <c r="AA230" s="32">
        <f t="shared" si="39"/>
        <v>-1.2465214789864139</v>
      </c>
      <c r="AB230" s="32">
        <f t="shared" si="39"/>
        <v>-1.7688484637116504</v>
      </c>
      <c r="AC230" s="32">
        <f t="shared" si="39"/>
        <v>-1.2465080173697962</v>
      </c>
      <c r="AD230" s="32">
        <f t="shared" si="39"/>
        <v>-1.8418492349520659</v>
      </c>
      <c r="AE230" s="32">
        <f t="shared" si="39"/>
        <v>-1.2464964107719896</v>
      </c>
      <c r="AF230" s="32">
        <f t="shared" si="39"/>
        <v>-1.9200243896618727</v>
      </c>
      <c r="AG230" s="32">
        <f t="shared" si="39"/>
        <v>-1.2464863004746822</v>
      </c>
      <c r="AH230" s="32">
        <f t="shared" si="39"/>
        <v>-2.0055375966506639</v>
      </c>
      <c r="AI230" s="32">
        <f t="shared" si="39"/>
        <v>-1.2464774146493767</v>
      </c>
      <c r="AJ230" s="32">
        <f t="shared" si="39"/>
        <v>-2.1015889631426865</v>
      </c>
      <c r="AK230" s="32">
        <f t="shared" si="39"/>
        <v>-1.2464695435510136</v>
      </c>
      <c r="AL230" s="32">
        <f t="shared" si="39"/>
        <v>-2.2133522536093682</v>
      </c>
      <c r="AM230" s="32">
        <f t="shared" si="39"/>
        <v>-1.2464625227512562</v>
      </c>
      <c r="AN230" s="32">
        <f t="shared" si="39"/>
        <v>-2.3502165838652647</v>
      </c>
      <c r="AO230" s="32">
        <f t="shared" si="39"/>
        <v>-1.2464562215270083</v>
      </c>
      <c r="AP230" s="32">
        <f t="shared" si="39"/>
        <v>-2.5324284465322164</v>
      </c>
      <c r="AQ230" s="32">
        <f t="shared" si="39"/>
        <v>-1.2464505346449453</v>
      </c>
      <c r="AR230" s="32">
        <f t="shared" si="39"/>
        <v>-2.8198173770639059</v>
      </c>
      <c r="AS230" s="32">
        <f t="shared" si="39"/>
        <v>-1.2464453764376293</v>
      </c>
      <c r="AT230" s="32">
        <f t="shared" si="39"/>
        <v>-3.7200583943220762</v>
      </c>
      <c r="AU230" s="32">
        <f t="shared" si="39"/>
        <v>-1.2627761842165943</v>
      </c>
      <c r="AV230" s="32">
        <f t="shared" si="39"/>
        <v>-2.980131572225587</v>
      </c>
      <c r="AW230" s="32">
        <f t="shared" si="39"/>
        <v>-1.2816273553386834</v>
      </c>
      <c r="AX230" s="32">
        <f t="shared" si="39"/>
        <v>-2.6562382873906998</v>
      </c>
      <c r="AY230" s="32">
        <f t="shared" si="39"/>
        <v>-1.3001259347849468</v>
      </c>
      <c r="AZ230" s="32">
        <f t="shared" si="39"/>
        <v>-2.4818596415566718</v>
      </c>
      <c r="BA230" s="32">
        <f t="shared" si="39"/>
        <v>-1.3183090977481473</v>
      </c>
      <c r="BB230" s="32">
        <f t="shared" si="39"/>
        <v>-2.3640527500772976</v>
      </c>
      <c r="BC230" s="32">
        <f t="shared" si="39"/>
        <v>-1.3362104427852071</v>
      </c>
      <c r="BD230" s="32">
        <f t="shared" si="39"/>
        <v>-2.2761363553444522</v>
      </c>
      <c r="BE230" s="32">
        <f t="shared" si="39"/>
        <v>-1.3538605314641985</v>
      </c>
      <c r="BF230" s="32">
        <f t="shared" si="39"/>
        <v>-2.2066750901490804</v>
      </c>
      <c r="BG230" s="32">
        <f t="shared" si="39"/>
        <v>-1.3712873376406671</v>
      </c>
      <c r="BH230" s="32">
        <f t="shared" si="39"/>
        <v>-2.1497096904921609</v>
      </c>
      <c r="BI230" s="32">
        <f t="shared" si="39"/>
        <v>-1.3885166246896179</v>
      </c>
      <c r="BJ230" s="32">
        <f t="shared" si="39"/>
        <v>-2.1017413944720564</v>
      </c>
      <c r="BK230" s="32">
        <f t="shared" si="39"/>
        <v>-1.4055722649008686</v>
      </c>
      <c r="BL230" s="32">
        <f t="shared" si="39"/>
        <v>-2.0605425531843884</v>
      </c>
      <c r="BM230" s="32">
        <f t="shared" si="39"/>
        <v>-1.4224765121653271</v>
      </c>
      <c r="BN230" s="32">
        <f t="shared" si="39"/>
        <v>-2.0246087042738474</v>
      </c>
      <c r="BO230" s="32">
        <f t="shared" si="39"/>
        <v>-1.4392502367487015</v>
      </c>
      <c r="BP230" s="32">
        <f t="shared" si="39"/>
        <v>-1.992877147508755</v>
      </c>
      <c r="BQ230" s="32">
        <f t="shared" ref="BQ230:CX230" si="40">LOG(ABS(BQ228-$J233))</f>
        <v>-1.4559131291769709</v>
      </c>
      <c r="BR230" s="32">
        <f t="shared" si="40"/>
        <v>-1.9645702073451017</v>
      </c>
      <c r="BS230" s="32">
        <f t="shared" si="40"/>
        <v>-1.4724838788939831</v>
      </c>
      <c r="BT230" s="32">
        <f t="shared" si="40"/>
        <v>-1.9391022749887326</v>
      </c>
      <c r="BU230" s="32">
        <f t="shared" si="40"/>
        <v>-1.4889803322966251</v>
      </c>
      <c r="BV230" s="32">
        <f t="shared" si="40"/>
        <v>-1.916021831426078</v>
      </c>
      <c r="BW230" s="32">
        <f t="shared" si="40"/>
        <v>-1.5054196339370787</v>
      </c>
      <c r="BX230" s="32">
        <f t="shared" si="40"/>
        <v>-1.8949737650862892</v>
      </c>
      <c r="BY230" s="32">
        <f t="shared" si="40"/>
        <v>-1.5218183540428822</v>
      </c>
      <c r="BZ230" s="32">
        <f t="shared" si="40"/>
        <v>-1.875674021587596</v>
      </c>
      <c r="CA230" s="32">
        <f t="shared" si="40"/>
        <v>-1.5381926050046699</v>
      </c>
      <c r="CB230" s="32">
        <f t="shared" si="40"/>
        <v>-1.8578920439989706</v>
      </c>
      <c r="CC230" s="32">
        <f t="shared" si="40"/>
        <v>-1.554558149098392</v>
      </c>
      <c r="CD230" s="32">
        <f t="shared" si="40"/>
        <v>-1.8414383001726962</v>
      </c>
      <c r="CE230" s="32">
        <f t="shared" si="40"/>
        <v>-1.5709304994055187</v>
      </c>
      <c r="CF230" s="32">
        <f t="shared" si="40"/>
        <v>-1.8261552280346245</v>
      </c>
      <c r="CG230" s="32">
        <f t="shared" si="40"/>
        <v>-1.5873250156661955</v>
      </c>
      <c r="CH230" s="32">
        <f t="shared" si="40"/>
        <v>-1.8119105352172968</v>
      </c>
      <c r="CI230" s="32">
        <f t="shared" si="40"/>
        <v>-1.6037569966326879</v>
      </c>
      <c r="CJ230" s="32">
        <f t="shared" si="40"/>
        <v>-1.7985921562873166</v>
      </c>
      <c r="CK230" s="32">
        <f t="shared" si="40"/>
        <v>-1.6202417703671925</v>
      </c>
      <c r="CL230" s="32">
        <f t="shared" si="40"/>
        <v>-1.7861043998715138</v>
      </c>
      <c r="CM230" s="32">
        <f t="shared" si="40"/>
        <v>-1.6367947838542731</v>
      </c>
      <c r="CN230" s="32">
        <f t="shared" si="40"/>
        <v>-1.7743649648796758</v>
      </c>
      <c r="CO230" s="32">
        <f t="shared" si="40"/>
        <v>-1.6534316932638535</v>
      </c>
      <c r="CP230" s="32">
        <f t="shared" si="40"/>
        <v>-1.7633026014684752</v>
      </c>
      <c r="CQ230" s="32">
        <f t="shared" si="40"/>
        <v>-1.6701684561956442</v>
      </c>
      <c r="CR230" s="32">
        <f t="shared" si="40"/>
        <v>-1.7528552570701659</v>
      </c>
      <c r="CS230" s="32">
        <f t="shared" si="40"/>
        <v>-1.6870214272817918</v>
      </c>
      <c r="CT230" s="32">
        <f t="shared" si="40"/>
        <v>-1.74296859205607</v>
      </c>
      <c r="CU230" s="32">
        <f t="shared" si="40"/>
        <v>-1.7040074585950982</v>
      </c>
      <c r="CV230" s="32">
        <f t="shared" si="40"/>
        <v>-1.7335947803609069</v>
      </c>
      <c r="CW230" s="32">
        <f t="shared" si="40"/>
        <v>-1.7211440064352108</v>
      </c>
      <c r="CX230" s="32">
        <f t="shared" si="40"/>
        <v>-1.7246915321487051</v>
      </c>
      <c r="CY230" s="32"/>
      <c r="CZ230" s="32"/>
      <c r="DA230" s="32"/>
      <c r="DB230" s="32"/>
      <c r="DC230" s="32"/>
      <c r="DD230" s="32"/>
      <c r="DE230" s="32"/>
      <c r="DF230" s="32"/>
      <c r="DG230" s="32"/>
    </row>
    <row r="231" spans="3:111" ht="20.350000000000001" customHeight="1" x14ac:dyDescent="0.45">
      <c r="C231" s="47" t="s">
        <v>51</v>
      </c>
      <c r="D231" s="32">
        <f>LOG(ABS(D229-$J234))</f>
        <v>-2.8194410538805008</v>
      </c>
      <c r="E231" s="32">
        <f t="shared" ref="E231:BP231" si="41">LOG(ABS(E229-$J234))</f>
        <v>-2.6606321739952254</v>
      </c>
      <c r="F231" s="32">
        <f t="shared" si="41"/>
        <v>-3.1561920639637053</v>
      </c>
      <c r="G231" s="32">
        <f t="shared" si="41"/>
        <v>-2.859132116919727</v>
      </c>
      <c r="H231" s="32">
        <f t="shared" si="41"/>
        <v>-3.3944946479271358</v>
      </c>
      <c r="I231" s="32">
        <f t="shared" si="41"/>
        <v>-2.9813861431468833</v>
      </c>
      <c r="J231" s="32">
        <f t="shared" si="41"/>
        <v>-3.5982321712428273</v>
      </c>
      <c r="K231" s="32">
        <f t="shared" si="41"/>
        <v>-3.0671673451215984</v>
      </c>
      <c r="L231" s="32">
        <f t="shared" si="41"/>
        <v>-3.7942544828123452</v>
      </c>
      <c r="M231" s="32">
        <f t="shared" si="41"/>
        <v>-3.1317848893646536</v>
      </c>
      <c r="N231" s="32">
        <f t="shared" si="41"/>
        <v>-4.0037969457624394</v>
      </c>
      <c r="O231" s="32">
        <f t="shared" si="41"/>
        <v>-3.1827141501581395</v>
      </c>
      <c r="P231" s="32">
        <f t="shared" si="41"/>
        <v>-4.2593197944314563</v>
      </c>
      <c r="Q231" s="32">
        <f t="shared" si="41"/>
        <v>-3.2241457665249085</v>
      </c>
      <c r="R231" s="32">
        <f t="shared" si="41"/>
        <v>-4.659983100048799</v>
      </c>
      <c r="S231" s="32">
        <f t="shared" si="41"/>
        <v>-3.2586534247523788</v>
      </c>
      <c r="T231" s="32">
        <f t="shared" si="41"/>
        <v>-5.4014208973270899</v>
      </c>
      <c r="U231" s="32">
        <f t="shared" si="41"/>
        <v>-3.2879240781480652</v>
      </c>
      <c r="V231" s="32">
        <f t="shared" si="41"/>
        <v>-4.6076846367406912</v>
      </c>
      <c r="W231" s="32">
        <f t="shared" si="41"/>
        <v>-3.3131188905068618</v>
      </c>
      <c r="X231" s="32">
        <f t="shared" si="41"/>
        <v>-4.3804442720816814</v>
      </c>
      <c r="Y231" s="32">
        <f t="shared" si="41"/>
        <v>-3.3350682107075524</v>
      </c>
      <c r="Z231" s="32">
        <f t="shared" si="41"/>
        <v>-4.2533894521237459</v>
      </c>
      <c r="AA231" s="32">
        <f t="shared" si="41"/>
        <v>-3.3543843095927923</v>
      </c>
      <c r="AB231" s="32">
        <f t="shared" si="41"/>
        <v>-4.1688840398192903</v>
      </c>
      <c r="AC231" s="32">
        <f t="shared" si="41"/>
        <v>-3.3715301772916719</v>
      </c>
      <c r="AD231" s="32">
        <f t="shared" si="41"/>
        <v>-4.1075575112173839</v>
      </c>
      <c r="AE231" s="32">
        <f t="shared" si="41"/>
        <v>-3.3868633880433232</v>
      </c>
      <c r="AF231" s="32">
        <f t="shared" si="41"/>
        <v>-4.0605939121871577</v>
      </c>
      <c r="AG231" s="32">
        <f t="shared" si="41"/>
        <v>-3.4006651042722953</v>
      </c>
      <c r="AH231" s="32">
        <f t="shared" si="41"/>
        <v>-4.0232751794496036</v>
      </c>
      <c r="AI231" s="32">
        <f t="shared" si="41"/>
        <v>-3.4131598521901063</v>
      </c>
      <c r="AJ231" s="32">
        <f t="shared" si="41"/>
        <v>-3.9928025671445657</v>
      </c>
      <c r="AK231" s="32">
        <f t="shared" si="41"/>
        <v>-3.4245293638962035</v>
      </c>
      <c r="AL231" s="32">
        <f t="shared" si="41"/>
        <v>-3.9673922115886482</v>
      </c>
      <c r="AM231" s="32">
        <f t="shared" si="41"/>
        <v>-3.4349224889737968</v>
      </c>
      <c r="AN231" s="32">
        <f t="shared" si="41"/>
        <v>-3.9458449052119282</v>
      </c>
      <c r="AO231" s="32">
        <f t="shared" si="41"/>
        <v>-3.4444624341042176</v>
      </c>
      <c r="AP231" s="32">
        <f t="shared" si="41"/>
        <v>-3.9273205421482706</v>
      </c>
      <c r="AQ231" s="32">
        <f t="shared" si="41"/>
        <v>-3.4532521445365911</v>
      </c>
      <c r="AR231" s="32">
        <f t="shared" si="41"/>
        <v>-3.9112108664929637</v>
      </c>
      <c r="AS231" s="32">
        <f t="shared" si="41"/>
        <v>-3.4613783671663039</v>
      </c>
      <c r="AT231" s="32">
        <f t="shared" si="41"/>
        <v>-3.8970634315995465</v>
      </c>
      <c r="AU231" s="32">
        <f t="shared" si="41"/>
        <v>-3.3090802599662354</v>
      </c>
      <c r="AV231" s="32">
        <f t="shared" si="41"/>
        <v>-3.8845340038183065</v>
      </c>
      <c r="AW231" s="32">
        <f t="shared" si="41"/>
        <v>-3.33589920472691</v>
      </c>
      <c r="AX231" s="32">
        <f t="shared" si="41"/>
        <v>-3.8733556080965599</v>
      </c>
      <c r="AY231" s="32">
        <f t="shared" si="41"/>
        <v>-3.3621189508664897</v>
      </c>
      <c r="AZ231" s="32">
        <f t="shared" si="41"/>
        <v>-3.8633177385887167</v>
      </c>
      <c r="BA231" s="32">
        <f t="shared" si="41"/>
        <v>-3.3878056847908815</v>
      </c>
      <c r="BB231" s="32">
        <f t="shared" si="41"/>
        <v>-3.8542520077541176</v>
      </c>
      <c r="BC231" s="32">
        <f t="shared" si="41"/>
        <v>-3.413019179036529</v>
      </c>
      <c r="BD231" s="32">
        <f t="shared" si="41"/>
        <v>-3.8460220022247906</v>
      </c>
      <c r="BE231" s="32">
        <f t="shared" si="41"/>
        <v>-3.4378138171211696</v>
      </c>
      <c r="BF231" s="32">
        <f t="shared" si="41"/>
        <v>-3.8385159622466807</v>
      </c>
      <c r="BG231" s="32">
        <f t="shared" si="41"/>
        <v>-3.4622394468013695</v>
      </c>
      <c r="BH231" s="32">
        <f t="shared" si="41"/>
        <v>-3.8316414014171487</v>
      </c>
      <c r="BI231" s="32">
        <f t="shared" si="41"/>
        <v>-3.4863420978991075</v>
      </c>
      <c r="BJ231" s="32">
        <f t="shared" si="41"/>
        <v>-3.8253210877757464</v>
      </c>
      <c r="BK231" s="32">
        <f t="shared" si="41"/>
        <v>-3.5101645926961962</v>
      </c>
      <c r="BL231" s="32">
        <f t="shared" si="41"/>
        <v>-3.8194899978483781</v>
      </c>
      <c r="BM231" s="32">
        <f t="shared" si="41"/>
        <v>-3.533747070827451</v>
      </c>
      <c r="BN231" s="32">
        <f t="shared" si="41"/>
        <v>-3.8140929777109283</v>
      </c>
      <c r="BO231" s="32">
        <f t="shared" si="41"/>
        <v>-3.5571274460940452</v>
      </c>
      <c r="BP231" s="32">
        <f t="shared" si="41"/>
        <v>-3.8090829255404439</v>
      </c>
      <c r="BQ231" s="32">
        <f t="shared" ref="BQ231:CX231" si="42">LOG(ABS(BQ229-$J234))</f>
        <v>-3.5803418092008887</v>
      </c>
      <c r="BR231" s="32">
        <f t="shared" si="42"/>
        <v>-3.8044193640661401</v>
      </c>
      <c r="BS231" s="32">
        <f t="shared" si="42"/>
        <v>-3.6034247878672239</v>
      </c>
      <c r="BT231" s="32">
        <f t="shared" si="42"/>
        <v>-3.8000673081450529</v>
      </c>
      <c r="BU231" s="32">
        <f t="shared" si="42"/>
        <v>-3.6264098738386079</v>
      </c>
      <c r="BV231" s="32">
        <f t="shared" si="42"/>
        <v>-3.7959963582813665</v>
      </c>
      <c r="BW231" s="32">
        <f t="shared" si="42"/>
        <v>-3.6493297248789065</v>
      </c>
      <c r="BX231" s="32">
        <f t="shared" si="42"/>
        <v>-3.7921799689071465</v>
      </c>
      <c r="BY231" s="32">
        <f t="shared" si="42"/>
        <v>-3.6722164487763127</v>
      </c>
      <c r="BZ231" s="32">
        <f t="shared" si="42"/>
        <v>-3.7885948531655855</v>
      </c>
      <c r="CA231" s="32">
        <f t="shared" si="42"/>
        <v>-3.6951018756761638</v>
      </c>
      <c r="CB231" s="32">
        <f t="shared" si="42"/>
        <v>-3.7852204952275423</v>
      </c>
      <c r="CC231" s="32">
        <f t="shared" si="42"/>
        <v>-3.7180178245639062</v>
      </c>
      <c r="CD231" s="32">
        <f t="shared" si="42"/>
        <v>-3.7820387480557462</v>
      </c>
      <c r="CE231" s="32">
        <f t="shared" si="42"/>
        <v>-3.7409963695100079</v>
      </c>
      <c r="CF231" s="32">
        <f t="shared" si="42"/>
        <v>-3.7790334995607053</v>
      </c>
      <c r="CG231" s="32">
        <f t="shared" si="42"/>
        <v>-3.7640701112665509</v>
      </c>
      <c r="CH231" s="32">
        <f t="shared" si="42"/>
        <v>-3.7761903939109227</v>
      </c>
      <c r="CI231" s="32">
        <f t="shared" si="42"/>
        <v>-3.7872724600225753</v>
      </c>
      <c r="CJ231" s="32">
        <f t="shared" si="42"/>
        <v>-3.7734965975973163</v>
      </c>
      <c r="CK231" s="32">
        <f t="shared" si="42"/>
        <v>-3.8106379355668132</v>
      </c>
      <c r="CL231" s="32">
        <f t="shared" si="42"/>
        <v>-3.7709406020667475</v>
      </c>
      <c r="CM231" s="32">
        <f t="shared" si="42"/>
        <v>-3.8342024918254687</v>
      </c>
      <c r="CN231" s="32">
        <f t="shared" si="42"/>
        <v>-3.7685120564014758</v>
      </c>
      <c r="CO231" s="32">
        <f t="shared" si="42"/>
        <v>-3.8580038737279323</v>
      </c>
      <c r="CP231" s="32">
        <f t="shared" si="42"/>
        <v>-3.7662016248055443</v>
      </c>
      <c r="CQ231" s="32">
        <f t="shared" si="42"/>
        <v>-3.8820820158054672</v>
      </c>
      <c r="CR231" s="32">
        <f t="shared" si="42"/>
        <v>-3.7640008647238936</v>
      </c>
      <c r="CS231" s="32">
        <f t="shared" si="42"/>
        <v>-3.9064794937492664</v>
      </c>
      <c r="CT231" s="32">
        <f t="shared" si="42"/>
        <v>-3.7619021221554649</v>
      </c>
      <c r="CU231" s="32">
        <f t="shared" si="42"/>
        <v>-3.931242042691411</v>
      </c>
      <c r="CV231" s="32">
        <f t="shared" si="42"/>
        <v>-3.7598984413991929</v>
      </c>
      <c r="CW231" s="32">
        <f t="shared" si="42"/>
        <v>-3.9564191592541622</v>
      </c>
      <c r="CX231" s="32">
        <f t="shared" si="42"/>
        <v>-3.7579834869574036</v>
      </c>
      <c r="CY231" s="32"/>
      <c r="CZ231" s="32"/>
      <c r="DA231" s="32"/>
      <c r="DB231" s="32"/>
      <c r="DC231" s="32"/>
      <c r="DD231" s="32"/>
      <c r="DE231" s="32"/>
      <c r="DF231" s="32"/>
      <c r="DG231" s="32"/>
    </row>
    <row r="232" spans="3:111" ht="20.350000000000001" customHeight="1" x14ac:dyDescent="0.45">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2"/>
      <c r="AB232" s="32"/>
      <c r="AC232" s="32"/>
      <c r="AD232" s="32"/>
      <c r="AE232" s="32"/>
      <c r="AF232" s="32"/>
      <c r="AG232" s="32"/>
      <c r="AH232" s="32"/>
      <c r="AI232" s="32"/>
      <c r="AJ232" s="32"/>
      <c r="AK232" s="32"/>
      <c r="AL232" s="32"/>
      <c r="AM232" s="32"/>
      <c r="AN232" s="32"/>
      <c r="AO232" s="32"/>
      <c r="AP232" s="32"/>
      <c r="AQ232" s="12"/>
      <c r="AR232" s="32"/>
      <c r="AS232" s="32"/>
      <c r="AT232" s="32"/>
      <c r="AU232" s="32"/>
      <c r="AV232" s="32"/>
      <c r="AW232" s="32"/>
      <c r="AX232" s="32"/>
      <c r="AY232" s="32"/>
      <c r="AZ232" s="32"/>
      <c r="BA232" s="32"/>
      <c r="BB232" s="32"/>
      <c r="BC232" s="32"/>
      <c r="BD232" s="32"/>
      <c r="BE232" s="32"/>
      <c r="BF232" s="32"/>
      <c r="BG232" s="32"/>
      <c r="BH232" s="32"/>
      <c r="BI232" s="32"/>
      <c r="BJ232" s="32"/>
      <c r="BK232" s="32"/>
      <c r="BL232" s="32"/>
      <c r="BM232" s="32"/>
      <c r="BN232" s="32"/>
      <c r="BO232" s="32"/>
      <c r="BP232" s="32"/>
      <c r="BQ232" s="32"/>
      <c r="BR232" s="32"/>
      <c r="BS232" s="32"/>
      <c r="BT232" s="32"/>
      <c r="BU232" s="32"/>
      <c r="BV232" s="32"/>
      <c r="BW232" s="32"/>
      <c r="BX232" s="32"/>
      <c r="BY232" s="32"/>
      <c r="BZ232" s="32"/>
      <c r="CA232" s="32"/>
      <c r="CB232" s="32"/>
      <c r="CC232" s="32"/>
      <c r="CD232" s="32"/>
      <c r="CE232" s="32"/>
      <c r="CF232" s="32"/>
      <c r="CG232" s="32"/>
      <c r="CH232" s="32"/>
      <c r="CI232" s="32"/>
      <c r="CJ232" s="32"/>
      <c r="CK232" s="32"/>
      <c r="CL232" s="32"/>
      <c r="CM232" s="32"/>
      <c r="CN232" s="32"/>
      <c r="CO232" s="32"/>
      <c r="CP232" s="32"/>
      <c r="CQ232" s="32"/>
      <c r="CR232" s="32"/>
      <c r="CS232" s="32"/>
      <c r="CT232" s="32"/>
      <c r="CU232" s="32"/>
      <c r="CV232" s="32"/>
      <c r="CW232" s="32"/>
      <c r="CX232" s="32"/>
      <c r="CY232" s="32"/>
      <c r="CZ232" s="32"/>
      <c r="DA232" s="32"/>
      <c r="DB232" s="32"/>
      <c r="DC232" s="32"/>
      <c r="DD232" s="32"/>
      <c r="DE232" s="32"/>
      <c r="DF232" s="32"/>
      <c r="DG232" s="32"/>
    </row>
    <row r="233" spans="3:111" ht="20.350000000000001" customHeight="1" x14ac:dyDescent="0.45">
      <c r="C233" s="32"/>
      <c r="D233" s="32"/>
      <c r="E233" s="32"/>
      <c r="F233" s="32"/>
      <c r="G233" s="32"/>
      <c r="H233" s="32"/>
      <c r="I233" s="47" t="s">
        <v>64</v>
      </c>
      <c r="J233" s="32">
        <f xml:space="preserve"> EXP( -C125*C127 ) * _xlfn.NORM.S.DIST( E179, TRUE )</f>
        <v>0.53232481545376342</v>
      </c>
      <c r="K233" s="32"/>
      <c r="L233" s="32">
        <f>J233</f>
        <v>0.53232481545376342</v>
      </c>
      <c r="M233" s="32">
        <f>J234</f>
        <v>1.8762017345846895E-2</v>
      </c>
      <c r="N233" s="32"/>
      <c r="O233" s="32"/>
      <c r="P233" s="32"/>
      <c r="Q233" s="32"/>
      <c r="R233" s="32"/>
      <c r="S233" s="32"/>
      <c r="T233" s="32"/>
      <c r="U233" s="32"/>
      <c r="V233" s="32"/>
      <c r="W233" s="32"/>
      <c r="X233" s="32"/>
      <c r="Y233" s="32"/>
      <c r="Z233" s="32"/>
      <c r="AA233" s="32"/>
      <c r="AB233" s="32"/>
      <c r="AC233" s="32"/>
      <c r="AD233" s="32"/>
      <c r="AE233" s="32"/>
      <c r="AF233" s="32"/>
      <c r="AG233" s="32"/>
      <c r="AH233" s="32"/>
      <c r="AI233" s="32"/>
      <c r="AJ233" s="32"/>
      <c r="AK233" s="32"/>
      <c r="AL233" s="32"/>
      <c r="AM233" s="32"/>
      <c r="AN233" s="32"/>
      <c r="AO233" s="32"/>
      <c r="AP233" s="32"/>
      <c r="AQ233" s="12"/>
      <c r="AR233" s="32"/>
      <c r="AS233" s="32"/>
      <c r="AT233" s="32"/>
      <c r="AU233" s="32"/>
      <c r="AV233" s="32"/>
      <c r="AW233" s="32"/>
      <c r="AX233" s="32"/>
      <c r="AY233" s="32"/>
      <c r="AZ233" s="32"/>
      <c r="BA233" s="32"/>
      <c r="BB233" s="32"/>
      <c r="BC233" s="32"/>
      <c r="BD233" s="32"/>
      <c r="BE233" s="32"/>
      <c r="BF233" s="32"/>
      <c r="BG233" s="32"/>
      <c r="BH233" s="32"/>
      <c r="BI233" s="32"/>
      <c r="BJ233" s="32"/>
      <c r="BK233" s="32"/>
      <c r="BL233" s="32"/>
      <c r="BM233" s="32"/>
      <c r="BN233" s="32"/>
      <c r="BO233" s="32"/>
      <c r="BP233" s="32"/>
      <c r="BQ233" s="32"/>
      <c r="BR233" s="32"/>
      <c r="BS233" s="32"/>
      <c r="BT233" s="32"/>
      <c r="BU233" s="32"/>
      <c r="BV233" s="32"/>
      <c r="BW233" s="32"/>
      <c r="BX233" s="32"/>
      <c r="BY233" s="32"/>
      <c r="BZ233" s="32"/>
      <c r="CA233" s="32"/>
      <c r="CB233" s="32"/>
      <c r="CC233" s="32"/>
      <c r="CD233" s="32"/>
      <c r="CE233" s="32"/>
      <c r="CF233" s="32"/>
      <c r="CG233" s="32"/>
      <c r="CH233" s="32"/>
      <c r="CI233" s="32"/>
      <c r="CJ233" s="32"/>
      <c r="CK233" s="32"/>
      <c r="CL233" s="32"/>
      <c r="CM233" s="32"/>
      <c r="CN233" s="32"/>
      <c r="CO233" s="32"/>
      <c r="CP233" s="32"/>
      <c r="CQ233" s="32"/>
      <c r="CR233" s="32"/>
      <c r="CS233" s="32"/>
      <c r="CT233" s="32"/>
      <c r="CU233" s="32"/>
      <c r="CV233" s="32"/>
      <c r="CW233" s="32"/>
      <c r="CX233" s="32"/>
      <c r="CY233" s="32"/>
      <c r="CZ233" s="32"/>
      <c r="DA233" s="32"/>
      <c r="DB233" s="32"/>
      <c r="DC233" s="32"/>
      <c r="DD233" s="32"/>
      <c r="DE233" s="32"/>
      <c r="DF233" s="32"/>
      <c r="DG233" s="32"/>
    </row>
    <row r="234" spans="3:111" ht="20.350000000000001" customHeight="1" x14ac:dyDescent="0.45">
      <c r="C234" s="32"/>
      <c r="D234" s="32"/>
      <c r="E234" s="32"/>
      <c r="F234" s="32"/>
      <c r="G234" s="32"/>
      <c r="H234" s="32"/>
      <c r="I234" s="47" t="s">
        <v>59</v>
      </c>
      <c r="J234" s="32">
        <f xml:space="preserve"> EXP(-C125*C127)*_xlfn.NORM.S.DIST(E179,FALSE)/(C124*C126*SQRT(C127))</f>
        <v>1.8762017345846895E-2</v>
      </c>
      <c r="K234" s="32"/>
      <c r="L234" s="32">
        <f>J233</f>
        <v>0.53232481545376342</v>
      </c>
      <c r="M234" s="32">
        <f>J234</f>
        <v>1.8762017345846895E-2</v>
      </c>
      <c r="N234" s="32"/>
      <c r="O234" s="32"/>
      <c r="P234" s="32"/>
      <c r="Q234" s="32"/>
      <c r="R234" s="32"/>
      <c r="S234" s="32"/>
      <c r="T234" s="32"/>
      <c r="U234" s="32"/>
      <c r="V234" s="32"/>
      <c r="W234" s="32"/>
      <c r="X234" s="32"/>
      <c r="Y234" s="32"/>
      <c r="Z234" s="32"/>
      <c r="AA234" s="32"/>
      <c r="AB234" s="32"/>
      <c r="AC234" s="32"/>
      <c r="AD234" s="32"/>
      <c r="AE234" s="32"/>
      <c r="AF234" s="32"/>
      <c r="AG234" s="32"/>
      <c r="AH234" s="32"/>
      <c r="AI234" s="32"/>
      <c r="AJ234" s="32"/>
      <c r="AK234" s="32"/>
      <c r="AL234" s="32"/>
      <c r="AM234" s="32"/>
      <c r="AN234" s="32"/>
      <c r="AO234" s="32"/>
      <c r="AP234" s="32"/>
      <c r="AQ234" s="12"/>
      <c r="AR234" s="32"/>
      <c r="AS234" s="32"/>
      <c r="AT234" s="32"/>
      <c r="AU234" s="32"/>
      <c r="AV234" s="32"/>
      <c r="AW234" s="32"/>
      <c r="AX234" s="32"/>
      <c r="AY234" s="32"/>
      <c r="AZ234" s="32"/>
      <c r="BA234" s="32"/>
      <c r="BB234" s="32"/>
      <c r="BC234" s="32"/>
      <c r="BD234" s="32"/>
      <c r="BE234" s="32"/>
      <c r="BF234" s="32"/>
      <c r="BG234" s="32"/>
      <c r="BH234" s="32"/>
      <c r="BI234" s="32"/>
      <c r="BJ234" s="32"/>
      <c r="BK234" s="32"/>
      <c r="BL234" s="32"/>
      <c r="BM234" s="32"/>
      <c r="BN234" s="32"/>
      <c r="BO234" s="32"/>
      <c r="BP234" s="32"/>
      <c r="BQ234" s="32"/>
      <c r="BR234" s="32"/>
      <c r="BS234" s="32"/>
      <c r="BT234" s="32"/>
      <c r="BU234" s="32"/>
      <c r="BV234" s="32"/>
      <c r="BW234" s="32"/>
      <c r="BX234" s="32"/>
      <c r="BY234" s="32"/>
      <c r="BZ234" s="32"/>
      <c r="CA234" s="32"/>
      <c r="CB234" s="32"/>
      <c r="CC234" s="32"/>
      <c r="CD234" s="32"/>
      <c r="CE234" s="32"/>
      <c r="CF234" s="32"/>
      <c r="CG234" s="32"/>
      <c r="CH234" s="32"/>
      <c r="CI234" s="32"/>
      <c r="CJ234" s="32"/>
      <c r="CK234" s="32"/>
      <c r="CL234" s="32"/>
      <c r="CM234" s="32"/>
      <c r="CN234" s="32"/>
      <c r="CO234" s="32"/>
      <c r="CP234" s="32"/>
      <c r="CQ234" s="32"/>
      <c r="CR234" s="32"/>
      <c r="CS234" s="32"/>
      <c r="CT234" s="32"/>
      <c r="CU234" s="32"/>
      <c r="CV234" s="32"/>
      <c r="CW234" s="32"/>
      <c r="CX234" s="32"/>
      <c r="CY234" s="32"/>
      <c r="CZ234" s="32"/>
      <c r="DA234" s="32"/>
      <c r="DB234" s="32"/>
      <c r="DC234" s="32"/>
      <c r="DD234" s="32"/>
      <c r="DE234" s="32"/>
      <c r="DF234" s="32"/>
      <c r="DG234" s="32"/>
    </row>
    <row r="235" spans="3:111" ht="20.350000000000001" customHeight="1" x14ac:dyDescent="0.45">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2"/>
      <c r="AB235" s="32"/>
      <c r="AC235" s="32"/>
      <c r="AD235" s="32"/>
      <c r="AE235" s="32"/>
      <c r="AF235" s="32"/>
      <c r="AG235" s="32"/>
      <c r="AH235" s="32"/>
      <c r="AI235" s="32"/>
      <c r="AJ235" s="32"/>
      <c r="AK235" s="32"/>
      <c r="AL235" s="32"/>
      <c r="AM235" s="32"/>
      <c r="AN235" s="32"/>
      <c r="AO235" s="32"/>
      <c r="AP235" s="32"/>
      <c r="AQ235" s="12"/>
      <c r="AR235" s="32"/>
      <c r="AS235" s="32"/>
      <c r="AT235" s="32"/>
      <c r="AU235" s="32"/>
      <c r="AV235" s="32"/>
      <c r="AW235" s="32"/>
      <c r="AX235" s="32"/>
      <c r="AY235" s="32"/>
      <c r="AZ235" s="32"/>
      <c r="BA235" s="32"/>
      <c r="BB235" s="32"/>
      <c r="BC235" s="32"/>
      <c r="BD235" s="32"/>
      <c r="BE235" s="32"/>
      <c r="BF235" s="32"/>
      <c r="BG235" s="32"/>
      <c r="BH235" s="32"/>
      <c r="BI235" s="32"/>
      <c r="BJ235" s="32"/>
      <c r="BK235" s="32"/>
      <c r="BL235" s="32"/>
      <c r="BM235" s="32"/>
      <c r="BN235" s="32"/>
      <c r="BO235" s="32"/>
      <c r="BP235" s="32"/>
      <c r="BQ235" s="32"/>
      <c r="BR235" s="32"/>
      <c r="BS235" s="32"/>
      <c r="BT235" s="32"/>
      <c r="BU235" s="32"/>
      <c r="BV235" s="32"/>
      <c r="BW235" s="32"/>
      <c r="BX235" s="32"/>
      <c r="BY235" s="32"/>
      <c r="BZ235" s="32"/>
      <c r="CA235" s="32"/>
      <c r="CB235" s="32"/>
      <c r="CC235" s="32"/>
      <c r="CD235" s="32"/>
      <c r="CE235" s="32"/>
      <c r="CF235" s="32"/>
      <c r="CG235" s="32"/>
      <c r="CH235" s="32"/>
      <c r="CI235" s="32"/>
      <c r="CJ235" s="32"/>
      <c r="CK235" s="32"/>
      <c r="CL235" s="32"/>
      <c r="CM235" s="32"/>
      <c r="CN235" s="32"/>
      <c r="CO235" s="32"/>
      <c r="CP235" s="32"/>
      <c r="CQ235" s="32"/>
      <c r="CR235" s="32"/>
      <c r="CS235" s="32"/>
      <c r="CT235" s="32"/>
      <c r="CU235" s="32"/>
      <c r="CV235" s="32"/>
      <c r="CW235" s="32"/>
      <c r="CX235" s="32"/>
      <c r="CY235" s="32"/>
      <c r="CZ235" s="32"/>
      <c r="DA235" s="32"/>
      <c r="DB235" s="32"/>
      <c r="DC235" s="32"/>
      <c r="DD235" s="32"/>
      <c r="DE235" s="32"/>
      <c r="DF235" s="32"/>
      <c r="DG235" s="32"/>
    </row>
    <row r="236" spans="3:111" ht="20.350000000000001" customHeight="1" x14ac:dyDescent="0.45">
      <c r="C236" s="47" t="s">
        <v>72</v>
      </c>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2"/>
      <c r="AB236" s="32"/>
      <c r="AC236" s="32"/>
      <c r="AD236" s="32"/>
      <c r="AE236" s="32"/>
      <c r="AF236" s="32"/>
      <c r="AG236" s="32"/>
      <c r="AH236" s="32"/>
      <c r="AI236" s="32"/>
      <c r="AJ236" s="32"/>
      <c r="AK236" s="32"/>
      <c r="AL236" s="32"/>
      <c r="AM236" s="32"/>
      <c r="AN236" s="32"/>
      <c r="AO236" s="32"/>
      <c r="AP236" s="32"/>
      <c r="AQ236" s="12"/>
      <c r="AR236" s="32"/>
      <c r="AS236" s="32"/>
      <c r="AT236" s="32"/>
      <c r="AU236" s="32"/>
      <c r="AV236" s="32"/>
      <c r="AW236" s="32"/>
      <c r="AX236" s="32"/>
      <c r="AY236" s="32"/>
      <c r="AZ236" s="32"/>
      <c r="BA236" s="32"/>
      <c r="BB236" s="32"/>
      <c r="BC236" s="32"/>
      <c r="BD236" s="32"/>
      <c r="BE236" s="32"/>
      <c r="BF236" s="32"/>
      <c r="BG236" s="32"/>
      <c r="BH236" s="32"/>
      <c r="BI236" s="32"/>
      <c r="BJ236" s="32"/>
      <c r="BK236" s="32"/>
      <c r="BL236" s="32"/>
      <c r="BM236" s="32"/>
      <c r="BN236" s="32"/>
      <c r="BO236" s="32"/>
      <c r="BP236" s="32"/>
      <c r="BQ236" s="32"/>
      <c r="BR236" s="32"/>
      <c r="BS236" s="32"/>
      <c r="BT236" s="32"/>
      <c r="BU236" s="32"/>
      <c r="BV236" s="32"/>
      <c r="BW236" s="32"/>
      <c r="BX236" s="32"/>
      <c r="BY236" s="32"/>
      <c r="BZ236" s="32"/>
      <c r="CA236" s="32"/>
      <c r="CB236" s="32"/>
      <c r="CC236" s="32"/>
      <c r="CD236" s="32"/>
      <c r="CE236" s="32"/>
      <c r="CF236" s="32"/>
      <c r="CG236" s="32"/>
      <c r="CH236" s="32"/>
      <c r="CI236" s="32"/>
      <c r="CJ236" s="32"/>
      <c r="CK236" s="32"/>
      <c r="CL236" s="32"/>
      <c r="CM236" s="32"/>
      <c r="CN236" s="32"/>
      <c r="CO236" s="32"/>
      <c r="CP236" s="32"/>
      <c r="CQ236" s="32"/>
      <c r="CR236" s="32"/>
      <c r="CS236" s="32"/>
      <c r="CT236" s="32"/>
      <c r="CU236" s="32"/>
      <c r="CV236" s="32"/>
      <c r="CW236" s="32"/>
      <c r="CX236" s="32"/>
      <c r="CY236" s="32"/>
      <c r="CZ236" s="32"/>
      <c r="DA236" s="32"/>
      <c r="DB236" s="32"/>
      <c r="DC236" s="32"/>
      <c r="DD236" s="32"/>
      <c r="DE236" s="32"/>
      <c r="DF236" s="32"/>
      <c r="DG236" s="32"/>
    </row>
    <row r="237" spans="3:111" ht="20.350000000000001" customHeight="1" x14ac:dyDescent="0.45">
      <c r="C237" s="47" t="s">
        <v>38</v>
      </c>
      <c r="D237" s="32" cm="1">
        <f t="array" ref="D237">PricePutDigit($C124,$C125,$C126,$C127,D175,$C128)</f>
        <v>0.23795359904818564</v>
      </c>
      <c r="E237" s="32" cm="1">
        <f t="array" ref="E237">PricePutDigit($C124,$C125,$C126,$C127,E175,$C128)</f>
        <v>0.4758107506795724</v>
      </c>
      <c r="F237" s="32" cm="1">
        <f t="array" ref="F237">PricePutDigit($C124,$C125,$C126,$C127,F175,$C128)</f>
        <v>0.2973513360053604</v>
      </c>
      <c r="G237" s="32" cm="1">
        <f t="array" ref="G237">PricePutDigit($C124,$C125,$C126,$C127,G175,$C128)</f>
        <v>0.47573284380337444</v>
      </c>
      <c r="H237" s="32" cm="1">
        <f t="array" ref="H237">PricePutDigit($C124,$C125,$C126,$C127,H175,$C128)</f>
        <v>0.32705286748407703</v>
      </c>
      <c r="I237" s="32" cm="1">
        <f t="array" ref="I237">PricePutDigit($C124,$C125,$C126,$C127,I175,$C128)</f>
        <v>0.47569924868092101</v>
      </c>
      <c r="J237" s="32" cm="1">
        <f t="array" ref="J237">PricePutDigit($C124,$C125,$C126,$C127,J175,$C128)</f>
        <v>0.34561758897189393</v>
      </c>
      <c r="K237" s="32" cm="1">
        <f t="array" ref="K237">PricePutDigit($C124,$C125,$C126,$C127,K175,$C128)</f>
        <v>0.47568053076017092</v>
      </c>
      <c r="L237" s="32" cm="1">
        <f t="array" ref="L237">PricePutDigit($C124,$C125,$C126,$C127,L175,$C128)</f>
        <v>0.35861357920769826</v>
      </c>
      <c r="M237" s="32" cm="1">
        <f t="array" ref="M237">PricePutDigit($C124,$C125,$C126,$C127,M175,$C128)</f>
        <v>0.4756685992063478</v>
      </c>
      <c r="N237" s="32" cm="1">
        <f t="array" ref="N237">PricePutDigit($C124,$C125,$C126,$C127,N175,$C128)</f>
        <v>0.36836098419309804</v>
      </c>
      <c r="O237" s="32" cm="1">
        <f t="array" ref="O237">PricePutDigit($C124,$C125,$C126,$C127,O175,$C128)</f>
        <v>0.47566032969693967</v>
      </c>
      <c r="P237" s="32" cm="1">
        <f t="array" ref="P237">PricePutDigit($C124,$C125,$C126,$C127,P175,$C128)</f>
        <v>0.37601992711711951</v>
      </c>
      <c r="Q237" s="32" cm="1">
        <f t="array" ref="Q237">PricePutDigit($C124,$C125,$C126,$C127,Q175,$C128)</f>
        <v>0.47565426059669125</v>
      </c>
      <c r="R237" s="32" cm="1">
        <f t="array" ref="R237">PricePutDigit($C124,$C125,$C126,$C127,R175,$C128)</f>
        <v>0.38224300194842031</v>
      </c>
      <c r="S237" s="32" cm="1">
        <f t="array" ref="S237">PricePutDigit($C124,$C125,$C126,$C127,S175,$C128)</f>
        <v>0.47564961678010831</v>
      </c>
      <c r="T237" s="32" cm="1">
        <f t="array" ref="T237">PricePutDigit($C124,$C125,$C126,$C127,T175,$C128)</f>
        <v>0.3874290293539846</v>
      </c>
      <c r="U237" s="32" cm="1">
        <f t="array" ref="U237">PricePutDigit($C124,$C125,$C126,$C127,U175,$C128)</f>
        <v>0.47564594893027301</v>
      </c>
      <c r="V237" s="32" cm="1">
        <f t="array" ref="V237">PricePutDigit($C124,$C125,$C126,$C127,V175,$C128)</f>
        <v>0.39183725038848716</v>
      </c>
      <c r="W237" s="32" cm="1">
        <f t="array" ref="W237">PricePutDigit($C124,$C125,$C126,$C127,W175,$C128)</f>
        <v>0.47564297863276594</v>
      </c>
      <c r="X237" s="32" cm="1">
        <f t="array" ref="X237">PricePutDigit($C124,$C125,$C126,$C127,X175,$C128)</f>
        <v>0.39564442495671065</v>
      </c>
      <c r="Y237" s="32" cm="1">
        <f t="array" ref="Y237">PricePutDigit($C124,$C125,$C126,$C127,Y175,$C128)</f>
        <v>0.47564052417560843</v>
      </c>
      <c r="Z237" s="32" cm="1">
        <f t="array" ref="Z237">PricePutDigit($C124,$C125,$C126,$C127,Z175,$C128)</f>
        <v>0.39897576094952303</v>
      </c>
      <c r="AA237" s="32" cm="1">
        <f t="array" ref="AA237">PricePutDigit($C124,$C125,$C126,$C127,AA175,$C128)</f>
        <v>0.47563846191875331</v>
      </c>
      <c r="AB237" s="32" cm="1">
        <f t="array" ref="AB237">PricePutDigit($C124,$C125,$C126,$C127,AB175,$C128)</f>
        <v>0.40192275840058239</v>
      </c>
      <c r="AC237" s="32" cm="1">
        <f t="array" ref="AC237">PricePutDigit($C124,$C125,$C126,$C127,AC175,$C128)</f>
        <v>0.47563670481195774</v>
      </c>
      <c r="AD237" s="32" cm="1">
        <f t="array" ref="AD237">PricePutDigit($C124,$C125,$C126,$C127,AD175,$C128)</f>
        <v>0.40455404367567105</v>
      </c>
      <c r="AE237" s="32" cm="1">
        <f t="array" ref="AE237">PricePutDigit($C124,$C125,$C126,$C127,AE175,$C128)</f>
        <v>0.47563518979180408</v>
      </c>
      <c r="AF237" s="32" cm="1">
        <f t="array" ref="AF237">PricePutDigit($C124,$C125,$C126,$C127,AF175,$C128)</f>
        <v>0.40692223126459942</v>
      </c>
      <c r="AG237" s="32" cm="1">
        <f t="array" ref="AG237">PricePutDigit($C124,$C125,$C126,$C127,AG175,$C128)</f>
        <v>0.47563387005216884</v>
      </c>
      <c r="AH237" s="32" cm="1">
        <f t="array" ref="AH237">PricePutDigit($C124,$C125,$C126,$C127,AH175,$C128)</f>
        <v>0.40906842691644058</v>
      </c>
      <c r="AI237" s="32" cm="1">
        <f t="array" ref="AI237">PricePutDigit($C124,$C125,$C126,$C127,AI175,$C128)</f>
        <v>0.47563271012264707</v>
      </c>
      <c r="AJ237" s="32" cm="1">
        <f t="array" ref="AJ237">PricePutDigit($C124,$C125,$C126,$C127,AJ175,$C128)</f>
        <v>0.41102527393113714</v>
      </c>
      <c r="AK237" s="32" cm="1">
        <f t="array" ref="AK237">PricePutDigit($C124,$C125,$C126,$C127,AK175,$C128)</f>
        <v>0.47563168263277605</v>
      </c>
      <c r="AL237" s="32" cm="1">
        <f t="array" ref="AL237">PricePutDigit($C124,$C125,$C126,$C127,AL175,$C128)</f>
        <v>0.41281906867416096</v>
      </c>
      <c r="AM237" s="32" cm="1">
        <f t="array" ref="AM237">PricePutDigit($C124,$C125,$C126,$C127,AM175,$C128)</f>
        <v>0.4756307661248142</v>
      </c>
      <c r="AN237" s="32" cm="1">
        <f t="array" ref="AN237">PricePutDigit($C124,$C125,$C126,$C127,AN175,$C128)</f>
        <v>0.41447126372821097</v>
      </c>
      <c r="AO237" s="32" cm="1">
        <f t="array" ref="AO237">PricePutDigit($C124,$C125,$C126,$C127,AO175,$C128)</f>
        <v>0.47562994353893095</v>
      </c>
      <c r="AP237" s="32" cm="1">
        <f t="array" ref="AP237">PricePutDigit($C124,$C125,$C126,$C127,AP175,$C128)</f>
        <v>0.4159995576937589</v>
      </c>
      <c r="AQ237" s="32" cm="1">
        <f t="array" ref="AQ237">PricePutDigit($C124,$C125,$C126,$C127,AQ175,$C128)</f>
        <v>0.47562920114137686</v>
      </c>
      <c r="AR237" s="32" cm="1">
        <f t="array" ref="AR237">PricePutDigit($C124,$C125,$C126,$C127,AR175,$C128)</f>
        <v>0.41741869957646272</v>
      </c>
      <c r="AS237" s="32" cm="1">
        <f t="array" ref="AS237">PricePutDigit($C124,$C125,$C126,$C127,AS175,$C128)</f>
        <v>0.47562852775158848</v>
      </c>
      <c r="AT237" s="32" cm="1">
        <f t="array" ref="AT237">PricePutDigit($C124,$C125,$C126,$C127,AT175,$C128)</f>
        <v>0.41874109208536658</v>
      </c>
      <c r="AU237" s="32" cm="1">
        <f t="array" ref="AU237">PricePutDigit($C124,$C125,$C126,$C127,AU175,$C128)</f>
        <v>0.36432709364081067</v>
      </c>
      <c r="AV237" s="32" cm="1">
        <f t="array" ref="AV237">PricePutDigit($C124,$C125,$C126,$C127,AV175,$C128)</f>
        <v>0.41997725066965547</v>
      </c>
      <c r="AW237" s="32" cm="1">
        <f t="array" ref="AW237">PricePutDigit($C124,$C125,$C126,$C127,AW175,$C128)</f>
        <v>0.36664542797561456</v>
      </c>
      <c r="AX237" s="32" cm="1">
        <f t="array" ref="AX237">PricePutDigit($C124,$C125,$C126,$C127,AX175,$C128)</f>
        <v>0.42113615736349574</v>
      </c>
      <c r="AY237" s="32" cm="1">
        <f t="array" ref="AY237">PricePutDigit($C124,$C125,$C126,$C127,AY175,$C128)</f>
        <v>0.36882466665303887</v>
      </c>
      <c r="AZ237" s="32" cm="1">
        <f t="array" ref="AZ237">PricePutDigit($C124,$C125,$C126,$C127,AZ175,$C128)</f>
        <v>0.42222553678801977</v>
      </c>
      <c r="BA237" s="32" cm="1">
        <f t="array" ref="BA237">PricePutDigit($C124,$C125,$C126,$C127,BA175,$C128)</f>
        <v>0.37087818401546274</v>
      </c>
      <c r="BB237" s="32" cm="1">
        <f t="array" ref="BB237">PricePutDigit($C124,$C125,$C126,$C127,BB175,$C128)</f>
        <v>0.42325207377046881</v>
      </c>
      <c r="BC237" s="32" cm="1">
        <f t="array" ref="BC237">PricePutDigit($C124,$C125,$C126,$C127,BC175,$C128)</f>
        <v>0.37281762071253488</v>
      </c>
      <c r="BD237" s="32" cm="1">
        <f t="array" ref="BD237">PricePutDigit($C124,$C125,$C126,$C127,BD175,$C128)</f>
        <v>0.42422158663524862</v>
      </c>
      <c r="BE237" s="32" cm="1">
        <f t="array" ref="BE237">PricePutDigit($C124,$C125,$C126,$C127,BE175,$C128)</f>
        <v>0.37465316232870344</v>
      </c>
      <c r="BF237" s="32" cm="1">
        <f t="array" ref="BF237">PricePutDigit($C124,$C125,$C126,$C127,BF175,$C128)</f>
        <v>0.42513916645693894</v>
      </c>
      <c r="BG237" s="32" cm="1">
        <f t="array" ref="BG237">PricePutDigit($C124,$C125,$C126,$C127,BG175,$C128)</f>
        <v>0.37639376516775191</v>
      </c>
      <c r="BH237" s="32" cm="1">
        <f t="array" ref="BH237">PricePutDigit($C124,$C125,$C126,$C127,BH175,$C128)</f>
        <v>0.42600928990428605</v>
      </c>
      <c r="BI237" s="32" cm="1">
        <f t="array" ref="BI237">PricePutDigit($C124,$C125,$C126,$C127,BI175,$C128)</f>
        <v>0.3780473406436321</v>
      </c>
      <c r="BJ237" s="32" cm="1">
        <f t="array" ref="BJ237">PricePutDigit($C124,$C125,$C126,$C127,BJ175,$C128)</f>
        <v>0.42683591139687133</v>
      </c>
      <c r="BK237" s="32" cm="1">
        <f t="array" ref="BK237">PricePutDigit($C124,$C125,$C126,$C127,BK175,$C128)</f>
        <v>0.37962090695693407</v>
      </c>
      <c r="BL237" s="32" cm="1">
        <f t="array" ref="BL237">PricePutDigit($C124,$C125,$C126,$C127,BL175,$C128)</f>
        <v>0.42762253891208762</v>
      </c>
      <c r="BM237" s="32" cm="1">
        <f t="array" ref="BM237">PricePutDigit($C124,$C125,$C126,$C127,BM175,$C128)</f>
        <v>0.38112071470203235</v>
      </c>
      <c r="BN237" s="32" cm="1">
        <f t="array" ref="BN237">PricePutDigit($C124,$C125,$C126,$C127,BN175,$C128)</f>
        <v>0.42837229676323507</v>
      </c>
      <c r="BO237" s="32" cm="1">
        <f t="array" ref="BO237">PricePutDigit($C124,$C125,$C126,$C127,BO175,$C128)</f>
        <v>0.38255235153984646</v>
      </c>
      <c r="BP237" s="32" cm="1">
        <f t="array" ref="BP237">PricePutDigit($C124,$C125,$C126,$C127,BP175,$C128)</f>
        <v>0.42908797791502767</v>
      </c>
      <c r="BQ237" s="32" cm="1">
        <f t="array" ref="BQ237">PricePutDigit($C124,$C125,$C126,$C127,BQ175,$C128)</f>
        <v>0.38392082993830562</v>
      </c>
      <c r="BR237" s="32" cm="1">
        <f t="array" ref="BR237">PricePutDigit($C124,$C125,$C126,$C127,BR175,$C128)</f>
        <v>0.42977208783658721</v>
      </c>
      <c r="BS237" s="32" cm="1">
        <f t="array" ref="BS237">PricePutDigit($C124,$C125,$C126,$C127,BS175,$C128)</f>
        <v>0.38523066112507842</v>
      </c>
      <c r="BT237" s="32" cm="1">
        <f t="array" ref="BT237">PricePutDigit($C124,$C125,$C126,$C127,BT175,$C128)</f>
        <v>0.43042688146354036</v>
      </c>
      <c r="BU237" s="32" cm="1">
        <f t="array" ref="BU237">PricePutDigit($C124,$C125,$C126,$C127,BU175,$C128)</f>
        <v>0.38648591774207602</v>
      </c>
      <c r="BV237" s="32" cm="1">
        <f t="array" ref="BV237">PricePutDigit($C124,$C125,$C126,$C127,BV175,$C128)</f>
        <v>0.43105439451330219</v>
      </c>
      <c r="BW237" s="32" cm="1">
        <f t="array" ref="BW237">PricePutDigit($C124,$C125,$C126,$C127,BW175,$C128)</f>
        <v>0.38769028718648629</v>
      </c>
      <c r="BX237" s="32" cm="1">
        <f t="array" ref="BX237">PricePutDigit($C124,$C125,$C126,$C127,BX175,$C128)</f>
        <v>0.43165647014563391</v>
      </c>
      <c r="BY237" s="32" cm="1">
        <f t="array" ref="BY237">PricePutDigit($C124,$C125,$C126,$C127,BY175,$C128)</f>
        <v>0.38884711723139914</v>
      </c>
      <c r="BZ237" s="32" cm="1">
        <f t="array" ref="BZ237">PricePutDigit($C124,$C125,$C126,$C127,BZ175,$C128)</f>
        <v>0.43223478176445884</v>
      </c>
      <c r="CA237" s="32" cm="1">
        <f t="array" ref="CA237">PricePutDigit($C124,$C125,$C126,$C127,CA175,$C128)</f>
        <v>0.38995945521286479</v>
      </c>
      <c r="CB237" s="32" cm="1">
        <f t="array" ref="CB237">PricePutDigit($C124,$C125,$C126,$C127,CB175,$C128)</f>
        <v>0.43279085260427835</v>
      </c>
      <c r="CC237" s="32" cm="1">
        <f t="array" ref="CC237">PricePutDigit($C124,$C125,$C126,$C127,CC175,$C128)</f>
        <v>0.39103008182872806</v>
      </c>
      <c r="CD237" s="32" cm="1">
        <f t="array" ref="CD237">PricePutDigit($C124,$C125,$C126,$C127,CD175,$C128)</f>
        <v>0.43332607262348777</v>
      </c>
      <c r="CE237" s="32" cm="1">
        <f t="array" ref="CE237">PricePutDigit($C124,$C125,$C126,$C127,CE175,$C128)</f>
        <v>0.39206154040349894</v>
      </c>
      <c r="CF237" s="32" cm="1">
        <f t="array" ref="CF237">PricePutDigit($C124,$C125,$C126,$C127,CF175,$C128)</f>
        <v>0.43384171313161779</v>
      </c>
      <c r="CG237" s="32" cm="1">
        <f t="array" ref="CG237">PricePutDigit($C124,$C125,$C126,$C127,CG175,$C128)</f>
        <v>0.39305616232097401</v>
      </c>
      <c r="CH237" s="32" cm="1">
        <f t="array" ref="CH237">PricePutDigit($C124,$C125,$C126,$C127,CH175,$C128)</f>
        <v>0.43433893950113556</v>
      </c>
      <c r="CI237" s="32" cm="1">
        <f t="array" ref="CI237">PricePutDigit($C124,$C125,$C126,$C127,CI175,$C128)</f>
        <v>0.39401608920382925</v>
      </c>
      <c r="CJ237" s="32" cm="1">
        <f t="array" ref="CJ237">PricePutDigit($C124,$C125,$C126,$C127,CJ175,$C128)</f>
        <v>0.43481882225346274</v>
      </c>
      <c r="CK237" s="32" cm="1">
        <f t="array" ref="CK237">PricePutDigit($C124,$C125,$C126,$C127,CK175,$C128)</f>
        <v>0.39494329232081826</v>
      </c>
      <c r="CL237" s="32" cm="1">
        <f t="array" ref="CL237">PricePutDigit($C124,$C125,$C126,$C127,CL175,$C128)</f>
        <v>0.43528234675921607</v>
      </c>
      <c r="CM237" s="32" cm="1">
        <f t="array" ref="CM237">PricePutDigit($C124,$C125,$C126,$C127,CM175,$C128)</f>
        <v>0.39583958962201427</v>
      </c>
      <c r="CN237" s="32" cm="1">
        <f t="array" ref="CN237">PricePutDigit($C124,$C125,$C126,$C127,CN175,$C128)</f>
        <v>0.43573042175290289</v>
      </c>
      <c r="CO237" s="32" cm="1">
        <f t="array" ref="CO237">PricePutDigit($C124,$C125,$C126,$C127,CO175,$C128)</f>
        <v>0.39670666073717314</v>
      </c>
      <c r="CP237" s="32" cm="1">
        <f t="array" ref="CP237">PricePutDigit($C124,$C125,$C126,$C127,CP175,$C128)</f>
        <v>0.43616388682968782</v>
      </c>
      <c r="CQ237" s="32" cm="1">
        <f t="array" ref="CQ237">PricePutDigit($C124,$C125,$C126,$C127,CQ175,$C128)</f>
        <v>0.39754606021906003</v>
      </c>
      <c r="CR237" s="32" cm="1">
        <f t="array" ref="CR237">PricePutDigit($C124,$C125,$C126,$C127,CR175,$C128)</f>
        <v>0.43658351906476084</v>
      </c>
      <c r="CS237" s="32" cm="1">
        <f t="array" ref="CS237">PricePutDigit($C124,$C125,$C126,$C127,CS175,$C128)</f>
        <v>0.3983592292692717</v>
      </c>
      <c r="CT237" s="32" cm="1">
        <f t="array" ref="CT237">PricePutDigit($C124,$C125,$C126,$C127,CT175,$C128)</f>
        <v>0.43699003887438409</v>
      </c>
      <c r="CU237" s="32" cm="1">
        <f t="array" ref="CU237">PricePutDigit($C124,$C125,$C126,$C127,CU175,$C128)</f>
        <v>0.39914750614795774</v>
      </c>
      <c r="CV237" s="32" cm="1">
        <f t="array" ref="CV237">PricePutDigit($C124,$C125,$C126,$C127,CV175,$C128)</f>
        <v>0.43738411521905818</v>
      </c>
      <c r="CW237" s="32" cm="1">
        <f t="array" ref="CW237">PricePutDigit($C124,$C125,$C126,$C127,CW175,$C128)</f>
        <v>0.39991213543840221</v>
      </c>
      <c r="CX237" s="32" cm="1">
        <f t="array" ref="CX237">PricePutDigit($C124,$C125,$C126,$C127,CX175,$C128)</f>
        <v>0.43776637023433657</v>
      </c>
      <c r="CY237" s="32"/>
      <c r="CZ237" s="32"/>
      <c r="DA237" s="32"/>
      <c r="DB237" s="32"/>
      <c r="DC237" s="32"/>
      <c r="DD237" s="32"/>
      <c r="DE237" s="32"/>
      <c r="DF237" s="32"/>
      <c r="DG237" s="32"/>
    </row>
    <row r="238" spans="3:111" ht="20.350000000000001" customHeight="1" x14ac:dyDescent="0.45">
      <c r="C238" s="47" t="s">
        <v>49</v>
      </c>
      <c r="D238" s="32" cm="1">
        <f t="array" ref="D238">DeltaPutDigit($C124,$C125,$C126,$C127,D175,$C128)</f>
        <v>-1.7246506858208478E-2</v>
      </c>
      <c r="E238" s="32" cm="1">
        <f t="array" ref="E238">DeltaPutDigit($C124,$C125,$C126,$C127,E175,$C128)</f>
        <v>-2.0946596705347886E-2</v>
      </c>
      <c r="F238" s="32" cm="1">
        <f t="array" ref="F238">DeltaPutDigit($C124,$C125,$C126,$C127,F175,$C128)</f>
        <v>-1.8064093662325642E-2</v>
      </c>
      <c r="G238" s="32" cm="1">
        <f t="array" ref="G238">DeltaPutDigit($C124,$C125,$C126,$C127,G175,$C128)</f>
        <v>-2.014516289348196E-2</v>
      </c>
      <c r="H238" s="32" cm="1">
        <f t="array" ref="H238">DeltaPutDigit($C124,$C125,$C126,$C127,H175,$C128)</f>
        <v>-1.8358831430730825E-2</v>
      </c>
      <c r="I238" s="32" cm="1">
        <f t="array" ref="I238">DeltaPutDigit($C124,$C125,$C126,$C127,I175,$C128)</f>
        <v>-1.9805809088467456E-2</v>
      </c>
      <c r="J238" s="32" cm="1">
        <f t="array" ref="J238">DeltaPutDigit($C124,$C125,$C126,$C127,J175,$C128)</f>
        <v>-1.8509804136324685E-2</v>
      </c>
      <c r="K238" s="32" cm="1">
        <f t="array" ref="K238">DeltaPutDigit($C124,$C125,$C126,$C127,K175,$C128)</f>
        <v>-1.9618725015401586E-2</v>
      </c>
      <c r="L238" s="32" cm="1">
        <f t="array" ref="L238">DeltaPutDigit($C124,$C125,$C126,$C127,L175,$C128)</f>
        <v>-1.8601417354631368E-2</v>
      </c>
      <c r="M238" s="32" cm="1">
        <f t="array" ref="M238">DeltaPutDigit($C124,$C125,$C126,$C127,M175,$C128)</f>
        <v>-1.9500287158251285E-2</v>
      </c>
      <c r="N238" s="32" cm="1">
        <f t="array" ref="N238">DeltaPutDigit($C124,$C125,$C126,$C127,N175,$C128)</f>
        <v>-1.8662887814212048E-2</v>
      </c>
      <c r="O238" s="32" cm="1">
        <f t="array" ref="O238">DeltaPutDigit($C124,$C125,$C126,$C127,O175,$C128)</f>
        <v>-1.9418594624913132E-2</v>
      </c>
      <c r="P238" s="32" cm="1">
        <f t="array" ref="P238">DeltaPutDigit($C124,$C125,$C126,$C127,P175,$C128)</f>
        <v>-1.8706977120216177E-2</v>
      </c>
      <c r="Q238" s="32" cm="1">
        <f t="array" ref="Q238">DeltaPutDigit($C124,$C125,$C126,$C127,Q175,$C128)</f>
        <v>-1.9358852277235716E-2</v>
      </c>
      <c r="R238" s="32" cm="1">
        <f t="array" ref="R238">DeltaPutDigit($C124,$C125,$C126,$C127,R175,$C128)</f>
        <v>-1.874013887825457E-2</v>
      </c>
      <c r="S238" s="32" cm="1">
        <f t="array" ref="S238">DeltaPutDigit($C124,$C125,$C126,$C127,S175,$C128)</f>
        <v>-1.9313264772691987E-2</v>
      </c>
      <c r="T238" s="32" cm="1">
        <f t="array" ref="T238">DeltaPutDigit($C124,$C125,$C126,$C127,T175,$C128)</f>
        <v>-1.876598541381681E-2</v>
      </c>
      <c r="U238" s="32" cm="1">
        <f t="array" ref="U238">DeltaPutDigit($C124,$C125,$C126,$C127,U175,$C128)</f>
        <v>-1.9277336068782982E-2</v>
      </c>
      <c r="V238" s="32" cm="1">
        <f t="array" ref="V238">DeltaPutDigit($C124,$C125,$C126,$C127,V175,$C128)</f>
        <v>-1.8786695652885366E-2</v>
      </c>
      <c r="W238" s="32" cm="1">
        <f t="array" ref="W238">DeltaPutDigit($C124,$C125,$C126,$C127,W175,$C128)</f>
        <v>-1.92482914131108E-2</v>
      </c>
      <c r="X238" s="32" cm="1">
        <f t="array" ref="X238">DeltaPutDigit($C124,$C125,$C126,$C127,X175,$C128)</f>
        <v>-1.8803661661333241E-2</v>
      </c>
      <c r="Y238" s="32" cm="1">
        <f t="array" ref="Y238">DeltaPutDigit($C124,$C125,$C126,$C127,Y175,$C128)</f>
        <v>-1.9224325750942534E-2</v>
      </c>
      <c r="Z238" s="32" cm="1">
        <f t="array" ref="Z238">DeltaPutDigit($C124,$C125,$C126,$C127,Z175,$C128)</f>
        <v>-1.8817814307140818E-2</v>
      </c>
      <c r="AA238" s="32" cm="1">
        <f t="array" ref="AA238">DeltaPutDigit($C124,$C125,$C126,$C127,AA175,$C128)</f>
        <v>-1.9204214242542157E-2</v>
      </c>
      <c r="AB238" s="32" cm="1">
        <f t="array" ref="AB238">DeltaPutDigit($C124,$C125,$C126,$C127,AB175,$C128)</f>
        <v>-1.8829799592606545E-2</v>
      </c>
      <c r="AC238" s="32" cm="1">
        <f t="array" ref="AC238">DeltaPutDigit($C124,$C125,$C126,$C127,AC175,$C128)</f>
        <v>-1.9187096514666852E-2</v>
      </c>
      <c r="AD238" s="32" cm="1">
        <f t="array" ref="AD238">DeltaPutDigit($C124,$C125,$C126,$C127,AD175,$C128)</f>
        <v>-1.8840079851790075E-2</v>
      </c>
      <c r="AE238" s="32" cm="1">
        <f t="array" ref="AE238">DeltaPutDigit($C124,$C125,$C126,$C127,AE175,$C128)</f>
        <v>-1.9172350503201457E-2</v>
      </c>
      <c r="AF238" s="32" cm="1">
        <f t="array" ref="AF238">DeltaPutDigit($C124,$C125,$C126,$C127,AF175,$C128)</f>
        <v>-1.8848994679071446E-2</v>
      </c>
      <c r="AG238" s="32" cm="1">
        <f t="array" ref="AG238">DeltaPutDigit($C124,$C125,$C126,$C127,AG175,$C128)</f>
        <v>-1.9159515298133884E-2</v>
      </c>
      <c r="AH238" s="32" cm="1">
        <f t="array" ref="AH238">DeltaPutDigit($C124,$C125,$C126,$C127,AH175,$C128)</f>
        <v>-1.8856799117132096E-2</v>
      </c>
      <c r="AI238" s="32" cm="1">
        <f t="array" ref="AI238">DeltaPutDigit($C124,$C125,$C126,$C127,AI175,$C128)</f>
        <v>-1.914824213771318E-2</v>
      </c>
      <c r="AJ238" s="32" cm="1">
        <f t="array" ref="AJ238">DeltaPutDigit($C124,$C125,$C126,$C127,AJ175,$C128)</f>
        <v>-1.8863688424907005E-2</v>
      </c>
      <c r="AK238" s="32" cm="1">
        <f t="array" ref="AK238">DeltaPutDigit($C124,$C125,$C126,$C127,AK175,$C128)</f>
        <v>-1.9138262258256412E-2</v>
      </c>
      <c r="AL238" s="32" cm="1">
        <f t="array" ref="AL238">DeltaPutDigit($C124,$C125,$C126,$C127,AL175,$C128)</f>
        <v>-1.8869814622316995E-2</v>
      </c>
      <c r="AM238" s="32" cm="1">
        <f t="array" ref="AM238">DeltaPutDigit($C124,$C125,$C126,$C127,AM175,$C128)</f>
        <v>-1.9129365203172932E-2</v>
      </c>
      <c r="AN238" s="32" cm="1">
        <f t="array" ref="AN238">DeltaPutDigit($C124,$C125,$C126,$C127,AN175,$C128)</f>
        <v>-1.8875297829554827E-2</v>
      </c>
      <c r="AO238" s="32" cm="1">
        <f t="array" ref="AO238">DeltaPutDigit($C124,$C125,$C126,$C127,AO175,$C128)</f>
        <v>-1.9121383825981091E-2</v>
      </c>
      <c r="AP238" s="32" cm="1">
        <f t="array" ref="AP238">DeltaPutDigit($C124,$C125,$C126,$C127,AP175,$C128)</f>
        <v>-1.8880234216227563E-2</v>
      </c>
      <c r="AQ238" s="32" cm="1">
        <f t="array" ref="AQ238">DeltaPutDigit($C124,$C125,$C126,$C127,AQ175,$C128)</f>
        <v>-1.9114183695287817E-2</v>
      </c>
      <c r="AR238" s="32" cm="1">
        <f t="array" ref="AR238">DeltaPutDigit($C124,$C125,$C126,$C127,AR175,$C128)</f>
        <v>-1.8884701686584394E-2</v>
      </c>
      <c r="AS238" s="32" cm="1">
        <f t="array" ref="AS238">DeltaPutDigit($C124,$C125,$C126,$C127,AS175,$C128)</f>
        <v>-1.9107655464720787E-2</v>
      </c>
      <c r="AT238" s="32" cm="1">
        <f t="array" ref="AT238">DeltaPutDigit($C124,$C125,$C126,$C127,AT175,$C128)</f>
        <v>-1.8888764018885534E-2</v>
      </c>
      <c r="AU238" s="32" cm="1">
        <f t="array" ref="AU238">DeltaPutDigit($C124,$C125,$C126,$C127,AU175,$C128)</f>
        <v>-1.8271200183739119E-2</v>
      </c>
      <c r="AV238" s="32" cm="1">
        <f t="array" ref="AV238">DeltaPutDigit($C124,$C125,$C126,$C127,AV175,$C128)</f>
        <v>-1.8892473927993047E-2</v>
      </c>
      <c r="AW238" s="32" cm="1">
        <f t="array" ref="AW238">DeltaPutDigit($C124,$C125,$C126,$C127,AW175,$C128)</f>
        <v>-1.8300592691806599E-2</v>
      </c>
      <c r="AX238" s="32" cm="1">
        <f t="array" ref="AX238">DeltaPutDigit($C124,$C125,$C126,$C127,AX175,$C128)</f>
        <v>-1.8895875364361922E-2</v>
      </c>
      <c r="AY238" s="32" cm="1">
        <f t="array" ref="AY238">DeltaPutDigit($C124,$C125,$C126,$C127,AY175,$C128)</f>
        <v>-1.8327626115335862E-2</v>
      </c>
      <c r="AZ238" s="32" cm="1">
        <f t="array" ref="AZ238">DeltaPutDigit($C124,$C125,$C126,$C127,AZ175,$C128)</f>
        <v>-1.889900526267323E-2</v>
      </c>
      <c r="BA238" s="32" cm="1">
        <f t="array" ref="BA238">DeltaPutDigit($C124,$C125,$C126,$C127,BA175,$C128)</f>
        <v>-1.8352573530752068E-2</v>
      </c>
      <c r="BB238" s="32" cm="1">
        <f t="array" ref="BB238">DeltaPutDigit($C124,$C125,$C126,$C127,BB175,$C128)</f>
        <v>-1.8901894887907226E-2</v>
      </c>
      <c r="BC238" s="32" cm="1">
        <f t="array" ref="BC238">DeltaPutDigit($C124,$C125,$C126,$C127,BC175,$C128)</f>
        <v>-1.8375667430908609E-2</v>
      </c>
      <c r="BD238" s="32" cm="1">
        <f t="array" ref="BD238">DeltaPutDigit($C124,$C125,$C126,$C127,BD175,$C128)</f>
        <v>-1.8904570882977631E-2</v>
      </c>
      <c r="BE238" s="32" cm="1">
        <f t="array" ref="BE238">DeltaPutDigit($C124,$C125,$C126,$C127,BE175,$C128)</f>
        <v>-1.8397106994680421E-2</v>
      </c>
      <c r="BF238" s="32" cm="1">
        <f t="array" ref="BF238">DeltaPutDigit($C124,$C125,$C126,$C127,BF175,$C128)</f>
        <v>-1.8907056092362769E-2</v>
      </c>
      <c r="BG238" s="32" cm="1">
        <f t="array" ref="BG238">DeltaPutDigit($C124,$C125,$C126,$C127,BG175,$C128)</f>
        <v>-1.8417063847901156E-2</v>
      </c>
      <c r="BH238" s="32" cm="1">
        <f t="array" ref="BH238">DeltaPutDigit($C124,$C125,$C126,$C127,BH175,$C128)</f>
        <v>-1.8909370215689773E-2</v>
      </c>
      <c r="BI238" s="32" cm="1">
        <f t="array" ref="BI238">DeltaPutDigit($C124,$C125,$C126,$C127,BI175,$C128)</f>
        <v>-1.8435686668724954E-2</v>
      </c>
      <c r="BJ238" s="32" cm="1">
        <f t="array" ref="BJ238">DeltaPutDigit($C124,$C125,$C126,$C127,BJ175,$C128)</f>
        <v>-1.8911530330860349E-2</v>
      </c>
      <c r="BK238" s="32" cm="1">
        <f t="array" ref="BK238">DeltaPutDigit($C124,$C125,$C126,$C127,BK175,$C128)</f>
        <v>-1.8453104899106409E-2</v>
      </c>
      <c r="BL238" s="32" cm="1">
        <f t="array" ref="BL238">DeltaPutDigit($C124,$C125,$C126,$C127,BL175,$C128)</f>
        <v>-1.8913551316125952E-2</v>
      </c>
      <c r="BM238" s="32" cm="1">
        <f t="array" ref="BM238">DeltaPutDigit($C124,$C125,$C126,$C127,BM175,$C128)</f>
        <v>-1.8469431758476443E-2</v>
      </c>
      <c r="BN238" s="32" cm="1">
        <f t="array" ref="BN238">DeltaPutDigit($C124,$C125,$C126,$C127,BN175,$C128)</f>
        <v>-1.8915446193167942E-2</v>
      </c>
      <c r="BO238" s="32" cm="1">
        <f t="array" ref="BO238">DeltaPutDigit($C124,$C125,$C126,$C127,BO175,$C128)</f>
        <v>-1.8484766708038714E-2</v>
      </c>
      <c r="BP238" s="32" cm="1">
        <f t="array" ref="BP238">DeltaPutDigit($C124,$C125,$C126,$C127,BP175,$C128)</f>
        <v>-1.8917226407911627E-2</v>
      </c>
      <c r="BQ238" s="32" cm="1">
        <f t="array" ref="BQ238">DeltaPutDigit($C124,$C125,$C126,$C127,BQ175,$C128)</f>
        <v>-1.8499197479080933E-2</v>
      </c>
      <c r="BR238" s="32" cm="1">
        <f t="array" ref="BR238">DeltaPutDigit($C124,$C125,$C126,$C127,BR175,$C128)</f>
        <v>-1.891890206186856E-2</v>
      </c>
      <c r="BS238" s="32" cm="1">
        <f t="array" ref="BS238">DeltaPutDigit($C124,$C125,$C126,$C127,BS175,$C128)</f>
        <v>-1.851280175272001E-2</v>
      </c>
      <c r="BT238" s="32" cm="1">
        <f t="array" ref="BT238">DeltaPutDigit($C124,$C125,$C126,$C127,BT175,$C128)</f>
        <v>-1.8920482103888723E-2</v>
      </c>
      <c r="BU238" s="32" cm="1">
        <f t="array" ref="BU238">DeltaPutDigit($C124,$C125,$C126,$C127,BU175,$C128)</f>
        <v>-1.8525648559024315E-2</v>
      </c>
      <c r="BV238" s="32" cm="1">
        <f t="array" ref="BV238">DeltaPutDigit($C124,$C125,$C126,$C127,BV175,$C128)</f>
        <v>-1.8921974490002089E-2</v>
      </c>
      <c r="BW238" s="32" cm="1">
        <f t="array" ref="BW238">DeltaPutDigit($C124,$C125,$C126,$C127,BW175,$C128)</f>
        <v>-1.8537799448726303E-2</v>
      </c>
      <c r="BX238" s="32" cm="1">
        <f t="array" ref="BX238">DeltaPutDigit($C124,$C125,$C126,$C127,BX175,$C128)</f>
        <v>-1.8923386317383457E-2</v>
      </c>
      <c r="BY238" s="32" cm="1">
        <f t="array" ref="BY238">DeltaPutDigit($C124,$C125,$C126,$C127,BY175,$C128)</f>
        <v>-1.8549309479511306E-2</v>
      </c>
      <c r="BZ238" s="32" cm="1">
        <f t="array" ref="BZ238">DeltaPutDigit($C124,$C125,$C126,$C127,BZ175,$C128)</f>
        <v>-1.892472393719272E-2</v>
      </c>
      <c r="CA238" s="32" cm="1">
        <f t="array" ref="CA238">DeltaPutDigit($C124,$C125,$C126,$C127,CA175,$C128)</f>
        <v>-1.8560228050242048E-2</v>
      </c>
      <c r="CB238" s="32" cm="1">
        <f t="array" ref="CB238">DeltaPutDigit($C124,$C125,$C126,$C127,CB175,$C128)</f>
        <v>-1.8925993050084629E-2</v>
      </c>
      <c r="CC238" s="32" cm="1">
        <f t="array" ref="CC238">DeltaPutDigit($C124,$C125,$C126,$C127,CC175,$C128)</f>
        <v>-1.8570599609782839E-2</v>
      </c>
      <c r="CD238" s="32" cm="1">
        <f t="array" ref="CD238">DeltaPutDigit($C124,$C125,$C126,$C127,CD175,$C128)</f>
        <v>-1.892719878740922E-2</v>
      </c>
      <c r="CE238" s="32" cm="1">
        <f t="array" ref="CE238">DeltaPutDigit($C124,$C125,$C126,$C127,CE175,$C128)</f>
        <v>-1.8580464261880689E-2</v>
      </c>
      <c r="CF238" s="32" cm="1">
        <f t="array" ref="CF238">DeltaPutDigit($C124,$C125,$C126,$C127,CF175,$C128)</f>
        <v>-1.8928345780547248E-2</v>
      </c>
      <c r="CG238" s="32" cm="1">
        <f t="array" ref="CG238">DeltaPutDigit($C124,$C125,$C126,$C127,CG175,$C128)</f>
        <v>-1.8589858283461411E-2</v>
      </c>
      <c r="CH238" s="32" cm="1">
        <f t="array" ref="CH238">DeltaPutDigit($C124,$C125,$C126,$C127,CH175,$C128)</f>
        <v>-1.8929438220351785E-2</v>
      </c>
      <c r="CI238" s="32" cm="1">
        <f t="array" ref="CI238">DeltaPutDigit($C124,$C125,$C126,$C127,CI175,$C128)</f>
        <v>-1.8598814570463779E-2</v>
      </c>
      <c r="CJ238" s="32" cm="1">
        <f t="array" ref="CJ238">DeltaPutDigit($C124,$C125,$C126,$C127,CJ175,$C128)</f>
        <v>-1.8930479908309015E-2</v>
      </c>
      <c r="CK238" s="32" cm="1">
        <f t="array" ref="CK238">DeltaPutDigit($C124,$C125,$C126,$C127,CK175,$C128)</f>
        <v>-1.8607363022762308E-2</v>
      </c>
      <c r="CL238" s="32" cm="1">
        <f t="array" ref="CL238">DeltaPutDigit($C124,$C125,$C126,$C127,CL175,$C128)</f>
        <v>-1.8931474300730444E-2</v>
      </c>
      <c r="CM238" s="32" cm="1">
        <f t="array" ref="CM238">DeltaPutDigit($C124,$C125,$C126,$C127,CM175,$C128)</f>
        <v>-1.861553087767465E-2</v>
      </c>
      <c r="CN238" s="32" cm="1">
        <f t="array" ref="CN238">DeltaPutDigit($C124,$C125,$C126,$C127,CN175,$C128)</f>
        <v>-1.8932424547057177E-2</v>
      </c>
      <c r="CO238" s="32" cm="1">
        <f t="array" ref="CO238">DeltaPutDigit($C124,$C125,$C126,$C127,CO175,$C128)</f>
        <v>-1.8623342999883292E-2</v>
      </c>
      <c r="CP238" s="32" cm="1">
        <f t="array" ref="CP238">DeltaPutDigit($C124,$C125,$C126,$C127,CP175,$C128)</f>
        <v>-1.893333352318011E-2</v>
      </c>
      <c r="CQ238" s="32" cm="1">
        <f t="array" ref="CQ238">DeltaPutDigit($C124,$C125,$C126,$C127,CQ175,$C128)</f>
        <v>-1.8630822134286556E-2</v>
      </c>
      <c r="CR238" s="32" cm="1">
        <f t="array" ref="CR238">DeltaPutDigit($C124,$C125,$C126,$C127,CR175,$C128)</f>
        <v>-1.8934203860504536E-2</v>
      </c>
      <c r="CS238" s="32" cm="1">
        <f t="array" ref="CS238">DeltaPutDigit($C124,$C125,$C126,$C127,CS175,$C128)</f>
        <v>-1.8637989127184819E-2</v>
      </c>
      <c r="CT238" s="32" cm="1">
        <f t="array" ref="CT238">DeltaPutDigit($C124,$C125,$C126,$C127,CT175,$C128)</f>
        <v>-1.8935037971390466E-2</v>
      </c>
      <c r="CU238" s="32" cm="1">
        <f t="array" ref="CU238">DeltaPutDigit($C124,$C125,$C126,$C127,CU175,$C128)</f>
        <v>-1.8644863120339191E-2</v>
      </c>
      <c r="CV238" s="32" cm="1">
        <f t="array" ref="CV238">DeltaPutDigit($C124,$C125,$C126,$C127,CV175,$C128)</f>
        <v>-1.8935838071480447E-2</v>
      </c>
      <c r="CW238" s="32" cm="1">
        <f t="array" ref="CW238">DeltaPutDigit($C124,$C125,$C126,$C127,CW175,$C128)</f>
        <v>-1.8651461721701824E-2</v>
      </c>
      <c r="CX238" s="32" cm="1">
        <f t="array" ref="CX238">DeltaPutDigit($C124,$C125,$C126,$C127,CX175,$C128)</f>
        <v>-1.8936606199349865E-2</v>
      </c>
      <c r="CY238" s="32"/>
      <c r="CZ238" s="32"/>
      <c r="DA238" s="32"/>
      <c r="DB238" s="32"/>
      <c r="DC238" s="32"/>
      <c r="DD238" s="32"/>
      <c r="DE238" s="32"/>
      <c r="DF238" s="32"/>
      <c r="DG238" s="32"/>
    </row>
    <row r="239" spans="3:111" ht="20.350000000000001" customHeight="1" x14ac:dyDescent="0.45">
      <c r="C239" s="47" t="s">
        <v>50</v>
      </c>
      <c r="D239" s="32">
        <f>LOG(ABS(D237-$J242))</f>
        <v>-0.74243898848467815</v>
      </c>
      <c r="E239" s="32">
        <f t="shared" ref="E239:BP239" si="43">LOG(ABS(E237-$J242))</f>
        <v>-1.2448408595589093</v>
      </c>
      <c r="F239" s="32">
        <f t="shared" si="43"/>
        <v>-0.91523334249926525</v>
      </c>
      <c r="G239" s="32">
        <f t="shared" si="43"/>
        <v>-1.2454358341444507</v>
      </c>
      <c r="H239" s="32">
        <f t="shared" si="43"/>
        <v>-1.0369126048020985</v>
      </c>
      <c r="I239" s="32">
        <f t="shared" si="43"/>
        <v>-1.245692651740447</v>
      </c>
      <c r="J239" s="32">
        <f t="shared" si="43"/>
        <v>-1.1349729368042405</v>
      </c>
      <c r="K239" s="32">
        <f t="shared" si="43"/>
        <v>-1.2458358066156476</v>
      </c>
      <c r="L239" s="32">
        <f t="shared" si="43"/>
        <v>-1.2197472978283821</v>
      </c>
      <c r="M239" s="32">
        <f t="shared" si="43"/>
        <v>-1.2459270839104688</v>
      </c>
      <c r="N239" s="32">
        <f t="shared" si="43"/>
        <v>-1.2963336148582509</v>
      </c>
      <c r="O239" s="32">
        <f t="shared" si="43"/>
        <v>-1.2459903575443558</v>
      </c>
      <c r="P239" s="32">
        <f t="shared" si="43"/>
        <v>-1.367697806680686</v>
      </c>
      <c r="Q239" s="32">
        <f t="shared" si="43"/>
        <v>-1.2460368007513942</v>
      </c>
      <c r="R239" s="32">
        <f t="shared" si="43"/>
        <v>-1.4357885012198028</v>
      </c>
      <c r="S239" s="32">
        <f t="shared" si="43"/>
        <v>-1.2460723404663165</v>
      </c>
      <c r="T239" s="32">
        <f t="shared" si="43"/>
        <v>-1.5020262626454215</v>
      </c>
      <c r="U239" s="32">
        <f t="shared" si="43"/>
        <v>-1.2461004130402946</v>
      </c>
      <c r="V239" s="32">
        <f t="shared" si="43"/>
        <v>-1.5675541223611005</v>
      </c>
      <c r="W239" s="32">
        <f t="shared" si="43"/>
        <v>-1.2461231480970418</v>
      </c>
      <c r="X239" s="32">
        <f t="shared" si="43"/>
        <v>-1.6333868524167265</v>
      </c>
      <c r="Y239" s="32">
        <f t="shared" si="43"/>
        <v>-1.2461419357404702</v>
      </c>
      <c r="Z239" s="32">
        <f t="shared" si="43"/>
        <v>-1.700517803125325</v>
      </c>
      <c r="AA239" s="32">
        <f t="shared" si="43"/>
        <v>-1.2461577219148552</v>
      </c>
      <c r="AB239" s="32">
        <f t="shared" si="43"/>
        <v>-1.7700149830137422</v>
      </c>
      <c r="AC239" s="32">
        <f t="shared" si="43"/>
        <v>-1.2461711726777431</v>
      </c>
      <c r="AD239" s="32">
        <f t="shared" si="43"/>
        <v>-1.8431309886310234</v>
      </c>
      <c r="AE239" s="32">
        <f t="shared" si="43"/>
        <v>-1.2461827705866413</v>
      </c>
      <c r="AF239" s="32">
        <f t="shared" si="43"/>
        <v>-1.9214569920228965</v>
      </c>
      <c r="AG239" s="32">
        <f t="shared" si="43"/>
        <v>-1.2461928738202139</v>
      </c>
      <c r="AH239" s="32">
        <f t="shared" si="43"/>
        <v>-2.0071734382961508</v>
      </c>
      <c r="AI239" s="32">
        <f t="shared" si="43"/>
        <v>-1.2462017538255565</v>
      </c>
      <c r="AJ239" s="32">
        <f t="shared" si="43"/>
        <v>-2.1035104281596864</v>
      </c>
      <c r="AK239" s="32">
        <f t="shared" si="43"/>
        <v>-1.2462096200719845</v>
      </c>
      <c r="AL239" s="32">
        <f t="shared" si="43"/>
        <v>-2.2157008520270076</v>
      </c>
      <c r="AM239" s="32">
        <f t="shared" si="43"/>
        <v>-1.2462166367844771</v>
      </c>
      <c r="AN239" s="32">
        <f t="shared" si="43"/>
        <v>-2.3532684396498391</v>
      </c>
      <c r="AO239" s="32">
        <f t="shared" si="43"/>
        <v>-1.2462229345334983</v>
      </c>
      <c r="AP239" s="32">
        <f t="shared" si="43"/>
        <v>-2.5368461860926934</v>
      </c>
      <c r="AQ239" s="32">
        <f t="shared" si="43"/>
        <v>-1.2462286184360063</v>
      </c>
      <c r="AR239" s="32">
        <f t="shared" si="43"/>
        <v>-2.8280076493003423</v>
      </c>
      <c r="AS239" s="32">
        <f t="shared" si="43"/>
        <v>-1.2462337740694687</v>
      </c>
      <c r="AT239" s="32">
        <f t="shared" si="43"/>
        <v>-3.7864371913810846</v>
      </c>
      <c r="AU239" s="32">
        <f t="shared" si="43"/>
        <v>-1.2629862390941931</v>
      </c>
      <c r="AV239" s="32">
        <f t="shared" si="43"/>
        <v>-2.9695453547155761</v>
      </c>
      <c r="AW239" s="32">
        <f t="shared" si="43"/>
        <v>-1.2818374001767463</v>
      </c>
      <c r="AX239" s="32">
        <f t="shared" si="43"/>
        <v>-2.6513937055602863</v>
      </c>
      <c r="AY239" s="32">
        <f t="shared" si="43"/>
        <v>-1.3003361793587416</v>
      </c>
      <c r="AZ239" s="32">
        <f t="shared" si="43"/>
        <v>-2.4787405739639023</v>
      </c>
      <c r="BA239" s="32">
        <f t="shared" si="43"/>
        <v>-1.3185197399669466</v>
      </c>
      <c r="BB239" s="32">
        <f t="shared" si="43"/>
        <v>-2.3617639332915665</v>
      </c>
      <c r="BC239" s="32">
        <f t="shared" si="43"/>
        <v>-1.336421670970277</v>
      </c>
      <c r="BD239" s="32">
        <f t="shared" si="43"/>
        <v>-2.2743351702856027</v>
      </c>
      <c r="BE239" s="32">
        <f t="shared" si="43"/>
        <v>-1.3540725262886202</v>
      </c>
      <c r="BF239" s="32">
        <f t="shared" si="43"/>
        <v>-2.2051943715715332</v>
      </c>
      <c r="BG239" s="32">
        <f t="shared" si="43"/>
        <v>-1.3715002738039481</v>
      </c>
      <c r="BH239" s="32">
        <f t="shared" si="43"/>
        <v>-2.1484554258309707</v>
      </c>
      <c r="BI239" s="32">
        <f t="shared" si="43"/>
        <v>-1.3887306723834905</v>
      </c>
      <c r="BJ239" s="32">
        <f t="shared" si="43"/>
        <v>-2.1006554940261029</v>
      </c>
      <c r="BK239" s="32">
        <f t="shared" si="43"/>
        <v>-1.4057875911115634</v>
      </c>
      <c r="BL239" s="32">
        <f t="shared" si="43"/>
        <v>-2.0595866291594134</v>
      </c>
      <c r="BM239" s="32">
        <f t="shared" si="43"/>
        <v>-1.4226932818470648</v>
      </c>
      <c r="BN239" s="32">
        <f t="shared" si="43"/>
        <v>-2.0237560753448927</v>
      </c>
      <c r="BO239" s="32">
        <f t="shared" si="43"/>
        <v>-1.4394686138988906</v>
      </c>
      <c r="BP239" s="32">
        <f t="shared" si="43"/>
        <v>-1.9921085246730525</v>
      </c>
      <c r="BQ239" s="32">
        <f t="shared" ref="BQ239:CX239" si="44">LOG(ABS(BQ237-$J242))</f>
        <v>-1.456133277836748</v>
      </c>
      <c r="BR239" s="32">
        <f t="shared" si="44"/>
        <v>-1.9638711987610304</v>
      </c>
      <c r="BS239" s="32">
        <f t="shared" si="44"/>
        <v>-1.4727059640938562</v>
      </c>
      <c r="BT239" s="32">
        <f t="shared" si="44"/>
        <v>-1.9384618611331763</v>
      </c>
      <c r="BU239" s="32">
        <f t="shared" si="44"/>
        <v>-1.4892045209663194</v>
      </c>
      <c r="BV239" s="32">
        <f t="shared" si="44"/>
        <v>-1.9154313905103013</v>
      </c>
      <c r="BW239" s="32">
        <f t="shared" si="44"/>
        <v>-1.5056460957945994</v>
      </c>
      <c r="BX239" s="32">
        <f t="shared" si="44"/>
        <v>-1.8944264265317092</v>
      </c>
      <c r="BY239" s="32">
        <f t="shared" si="44"/>
        <v>-1.5220472624754218</v>
      </c>
      <c r="BZ239" s="32">
        <f t="shared" si="44"/>
        <v>-1.8751642234462469</v>
      </c>
      <c r="CA239" s="32">
        <f t="shared" si="44"/>
        <v>-1.5384241379570125</v>
      </c>
      <c r="CB239" s="32">
        <f t="shared" si="44"/>
        <v>-1.8574152217183955</v>
      </c>
      <c r="CC239" s="32">
        <f t="shared" si="44"/>
        <v>-1.5547924899799566</v>
      </c>
      <c r="CD239" s="32">
        <f t="shared" si="44"/>
        <v>-1.8409906625736359</v>
      </c>
      <c r="CE239" s="32">
        <f t="shared" si="44"/>
        <v>-1.5711678380283938</v>
      </c>
      <c r="CF239" s="32">
        <f t="shared" si="44"/>
        <v>-1.8257335927453149</v>
      </c>
      <c r="CG239" s="32">
        <f t="shared" si="44"/>
        <v>-1.5875655492278749</v>
      </c>
      <c r="CH239" s="32">
        <f t="shared" si="44"/>
        <v>-1.8115122055961941</v>
      </c>
      <c r="CI239" s="32">
        <f t="shared" si="44"/>
        <v>-1.6040009307549741</v>
      </c>
      <c r="CJ239" s="32">
        <f t="shared" si="44"/>
        <v>-1.7982148278891499</v>
      </c>
      <c r="CK239" s="32">
        <f t="shared" si="44"/>
        <v>-1.6204893202067214</v>
      </c>
      <c r="CL239" s="32">
        <f t="shared" si="44"/>
        <v>-1.785746088346889</v>
      </c>
      <c r="CM239" s="32">
        <f t="shared" si="44"/>
        <v>-1.6370461753007122</v>
      </c>
      <c r="CN239" s="32">
        <f t="shared" si="44"/>
        <v>-1.7740239496783514</v>
      </c>
      <c r="CO239" s="32">
        <f t="shared" si="44"/>
        <v>-1.6536871642394027</v>
      </c>
      <c r="CP239" s="32">
        <f t="shared" si="44"/>
        <v>-1.7629773813632403</v>
      </c>
      <c r="CQ239" s="32">
        <f t="shared" si="44"/>
        <v>-1.6704282580783638</v>
      </c>
      <c r="CR239" s="32">
        <f t="shared" si="44"/>
        <v>-1.7525445146534251</v>
      </c>
      <c r="CS239" s="32">
        <f t="shared" si="44"/>
        <v>-1.6872858264719124</v>
      </c>
      <c r="CT239" s="32">
        <f t="shared" si="44"/>
        <v>-1.7426711651183289</v>
      </c>
      <c r="CU239" s="32">
        <f t="shared" si="44"/>
        <v>-1.7042767382516639</v>
      </c>
      <c r="CV239" s="32">
        <f t="shared" si="44"/>
        <v>-1.7333096386134381</v>
      </c>
      <c r="CW239" s="32">
        <f t="shared" si="44"/>
        <v>-1.7214184684076708</v>
      </c>
      <c r="CX239" s="32">
        <f t="shared" si="44"/>
        <v>-1.7244177581388422</v>
      </c>
      <c r="CY239" s="32"/>
      <c r="CZ239" s="32"/>
      <c r="DA239" s="32"/>
      <c r="DB239" s="32"/>
      <c r="DC239" s="32"/>
      <c r="DD239" s="32"/>
      <c r="DE239" s="32"/>
      <c r="DF239" s="32"/>
      <c r="DG239" s="32"/>
    </row>
    <row r="240" spans="3:111" ht="20.350000000000001" customHeight="1" x14ac:dyDescent="0.45">
      <c r="C240" s="47" t="s">
        <v>51</v>
      </c>
      <c r="D240" s="32">
        <f>LOG(ABS(D238-$J243))</f>
        <v>-2.8194410538805008</v>
      </c>
      <c r="E240" s="32">
        <f t="shared" ref="E240:BP240" si="45">LOG(ABS(E238-$J243))</f>
        <v>-2.6606321739952254</v>
      </c>
      <c r="F240" s="32">
        <f t="shared" si="45"/>
        <v>-3.1561920639637093</v>
      </c>
      <c r="G240" s="32">
        <f t="shared" si="45"/>
        <v>-2.859132116919727</v>
      </c>
      <c r="H240" s="32">
        <f t="shared" si="45"/>
        <v>-3.3944946479271469</v>
      </c>
      <c r="I240" s="32">
        <f t="shared" si="45"/>
        <v>-2.9813861431468833</v>
      </c>
      <c r="J240" s="32">
        <f t="shared" si="45"/>
        <v>-3.5982321712428331</v>
      </c>
      <c r="K240" s="32">
        <f t="shared" si="45"/>
        <v>-3.0671673451215984</v>
      </c>
      <c r="L240" s="32">
        <f t="shared" si="45"/>
        <v>-3.7942544828123079</v>
      </c>
      <c r="M240" s="32">
        <f t="shared" si="45"/>
        <v>-3.1317848893646536</v>
      </c>
      <c r="N240" s="32">
        <f t="shared" si="45"/>
        <v>-4.003796945762379</v>
      </c>
      <c r="O240" s="32">
        <f t="shared" si="45"/>
        <v>-3.1827141501581395</v>
      </c>
      <c r="P240" s="32">
        <f t="shared" si="45"/>
        <v>-4.2593197944314287</v>
      </c>
      <c r="Q240" s="32">
        <f t="shared" si="45"/>
        <v>-3.2241457665249085</v>
      </c>
      <c r="R240" s="32">
        <f t="shared" si="45"/>
        <v>-4.6599831000490051</v>
      </c>
      <c r="S240" s="32">
        <f t="shared" si="45"/>
        <v>-3.2586534247523788</v>
      </c>
      <c r="T240" s="32">
        <f t="shared" si="45"/>
        <v>-5.4014208973278492</v>
      </c>
      <c r="U240" s="32">
        <f t="shared" si="45"/>
        <v>-3.2879240781480652</v>
      </c>
      <c r="V240" s="32">
        <f t="shared" si="45"/>
        <v>-4.6076846367404469</v>
      </c>
      <c r="W240" s="32">
        <f t="shared" si="45"/>
        <v>-3.3131188905068618</v>
      </c>
      <c r="X240" s="32">
        <f t="shared" si="45"/>
        <v>-4.380444272081899</v>
      </c>
      <c r="Y240" s="32">
        <f t="shared" si="45"/>
        <v>-3.3350682107075524</v>
      </c>
      <c r="Z240" s="32">
        <f t="shared" si="45"/>
        <v>-4.2533894521236384</v>
      </c>
      <c r="AA240" s="32">
        <f t="shared" si="45"/>
        <v>-3.3543843095927923</v>
      </c>
      <c r="AB240" s="32">
        <f t="shared" si="45"/>
        <v>-4.1688840398192903</v>
      </c>
      <c r="AC240" s="32">
        <f t="shared" si="45"/>
        <v>-3.3715301772916719</v>
      </c>
      <c r="AD240" s="32">
        <f t="shared" si="45"/>
        <v>-4.1075575112173839</v>
      </c>
      <c r="AE240" s="32">
        <f t="shared" si="45"/>
        <v>-3.3868633880433232</v>
      </c>
      <c r="AF240" s="32">
        <f t="shared" si="45"/>
        <v>-4.0605939121870884</v>
      </c>
      <c r="AG240" s="32">
        <f t="shared" si="45"/>
        <v>-3.4006651042722953</v>
      </c>
      <c r="AH240" s="32">
        <f t="shared" si="45"/>
        <v>-4.0232751794496515</v>
      </c>
      <c r="AI240" s="32">
        <f t="shared" si="45"/>
        <v>-3.4131598521901063</v>
      </c>
      <c r="AJ240" s="32">
        <f t="shared" si="45"/>
        <v>-3.9928025671445955</v>
      </c>
      <c r="AK240" s="32">
        <f t="shared" si="45"/>
        <v>-3.4245293638962035</v>
      </c>
      <c r="AL240" s="32">
        <f t="shared" si="45"/>
        <v>-3.9673922115885083</v>
      </c>
      <c r="AM240" s="32">
        <f t="shared" si="45"/>
        <v>-3.4349224889737968</v>
      </c>
      <c r="AN240" s="32">
        <f t="shared" si="45"/>
        <v>-3.9458449052118887</v>
      </c>
      <c r="AO240" s="32">
        <f t="shared" si="45"/>
        <v>-3.4444624341042176</v>
      </c>
      <c r="AP240" s="32">
        <f t="shared" si="45"/>
        <v>-3.9273205421483346</v>
      </c>
      <c r="AQ240" s="32">
        <f t="shared" si="45"/>
        <v>-3.4532521445365911</v>
      </c>
      <c r="AR240" s="32">
        <f t="shared" si="45"/>
        <v>-3.9112108664930005</v>
      </c>
      <c r="AS240" s="32">
        <f t="shared" si="45"/>
        <v>-3.4613783671663039</v>
      </c>
      <c r="AT240" s="32">
        <f t="shared" si="45"/>
        <v>-3.8970634315995465</v>
      </c>
      <c r="AU240" s="32">
        <f t="shared" si="45"/>
        <v>-3.3090802599662354</v>
      </c>
      <c r="AV240" s="32">
        <f t="shared" si="45"/>
        <v>-3.8845340038183642</v>
      </c>
      <c r="AW240" s="32">
        <f t="shared" si="45"/>
        <v>-3.33589920472691</v>
      </c>
      <c r="AX240" s="32">
        <f t="shared" si="45"/>
        <v>-3.8733556080965936</v>
      </c>
      <c r="AY240" s="32">
        <f t="shared" si="45"/>
        <v>-3.3621189508665172</v>
      </c>
      <c r="AZ240" s="32">
        <f t="shared" si="45"/>
        <v>-3.8633177385886834</v>
      </c>
      <c r="BA240" s="32">
        <f t="shared" si="45"/>
        <v>-3.3878056847909259</v>
      </c>
      <c r="BB240" s="32">
        <f t="shared" si="45"/>
        <v>-3.8542520077540856</v>
      </c>
      <c r="BC240" s="32">
        <f t="shared" si="45"/>
        <v>-3.4130191790364939</v>
      </c>
      <c r="BD240" s="32">
        <f t="shared" si="45"/>
        <v>-3.8460220022247271</v>
      </c>
      <c r="BE240" s="32">
        <f t="shared" si="45"/>
        <v>-3.4378138171211821</v>
      </c>
      <c r="BF240" s="32">
        <f t="shared" si="45"/>
        <v>-3.8385159622467429</v>
      </c>
      <c r="BG240" s="32">
        <f t="shared" si="45"/>
        <v>-3.4622394468013695</v>
      </c>
      <c r="BH240" s="32">
        <f t="shared" si="45"/>
        <v>-3.8316414014171181</v>
      </c>
      <c r="BI240" s="32">
        <f t="shared" si="45"/>
        <v>-3.4863420978990938</v>
      </c>
      <c r="BJ240" s="32">
        <f t="shared" si="45"/>
        <v>-3.8253210877756758</v>
      </c>
      <c r="BK240" s="32">
        <f t="shared" si="45"/>
        <v>-3.5101645926962544</v>
      </c>
      <c r="BL240" s="32">
        <f t="shared" si="45"/>
        <v>-3.8194899978483181</v>
      </c>
      <c r="BM240" s="32">
        <f t="shared" si="45"/>
        <v>-3.5337470708274048</v>
      </c>
      <c r="BN240" s="32">
        <f t="shared" si="45"/>
        <v>-3.8140929777109576</v>
      </c>
      <c r="BO240" s="32">
        <f t="shared" si="45"/>
        <v>-3.5571274460940234</v>
      </c>
      <c r="BP240" s="32">
        <f t="shared" si="45"/>
        <v>-3.809082925540376</v>
      </c>
      <c r="BQ240" s="32">
        <f t="shared" ref="BQ240:CX240" si="46">LOG(ABS(BQ238-$J243))</f>
        <v>-3.5803418092008314</v>
      </c>
      <c r="BR240" s="32">
        <f t="shared" si="46"/>
        <v>-3.804419364066169</v>
      </c>
      <c r="BS240" s="32">
        <f t="shared" si="46"/>
        <v>-3.6034247878672057</v>
      </c>
      <c r="BT240" s="32">
        <f t="shared" si="46"/>
        <v>-3.8000673081450906</v>
      </c>
      <c r="BU240" s="32">
        <f t="shared" si="46"/>
        <v>-3.6264098738386337</v>
      </c>
      <c r="BV240" s="32">
        <f t="shared" si="46"/>
        <v>-3.7959963582814042</v>
      </c>
      <c r="BW240" s="32">
        <f t="shared" si="46"/>
        <v>-3.6493297248788661</v>
      </c>
      <c r="BX240" s="32">
        <f t="shared" si="46"/>
        <v>-3.7921799689071465</v>
      </c>
      <c r="BY240" s="32">
        <f t="shared" si="46"/>
        <v>-3.6722164487763127</v>
      </c>
      <c r="BZ240" s="32">
        <f t="shared" si="46"/>
        <v>-3.788594853165558</v>
      </c>
      <c r="CA240" s="32">
        <f t="shared" si="46"/>
        <v>-3.6951018756761638</v>
      </c>
      <c r="CB240" s="32">
        <f t="shared" si="46"/>
        <v>-3.7852204952275423</v>
      </c>
      <c r="CC240" s="32">
        <f t="shared" si="46"/>
        <v>-3.7180178245639377</v>
      </c>
      <c r="CD240" s="32">
        <f t="shared" si="46"/>
        <v>-3.7820387480557462</v>
      </c>
      <c r="CE240" s="32">
        <f t="shared" si="46"/>
        <v>-3.7409963695099417</v>
      </c>
      <c r="CF240" s="32">
        <f t="shared" si="46"/>
        <v>-3.7790334995608048</v>
      </c>
      <c r="CG240" s="32">
        <f t="shared" si="46"/>
        <v>-3.7640701112664896</v>
      </c>
      <c r="CH240" s="32">
        <f t="shared" si="46"/>
        <v>-3.7761903939108867</v>
      </c>
      <c r="CI240" s="32">
        <f t="shared" si="46"/>
        <v>-3.7872724600225753</v>
      </c>
      <c r="CJ240" s="32">
        <f t="shared" si="46"/>
        <v>-3.7734965975973789</v>
      </c>
      <c r="CK240" s="32">
        <f t="shared" si="46"/>
        <v>-3.8106379355667839</v>
      </c>
      <c r="CL240" s="32">
        <f t="shared" si="46"/>
        <v>-3.770940602066712</v>
      </c>
      <c r="CM240" s="32">
        <f t="shared" si="46"/>
        <v>-3.8342024918255921</v>
      </c>
      <c r="CN240" s="32">
        <f t="shared" si="46"/>
        <v>-3.7685120564014407</v>
      </c>
      <c r="CO240" s="32">
        <f t="shared" si="46"/>
        <v>-3.8580038737279647</v>
      </c>
      <c r="CP240" s="32">
        <f t="shared" si="46"/>
        <v>-3.7662016248055443</v>
      </c>
      <c r="CQ240" s="32">
        <f t="shared" si="46"/>
        <v>-3.882082015805421</v>
      </c>
      <c r="CR240" s="32">
        <f t="shared" si="46"/>
        <v>-3.7640008647238674</v>
      </c>
      <c r="CS240" s="32">
        <f t="shared" si="46"/>
        <v>-3.906479493749218</v>
      </c>
      <c r="CT240" s="32">
        <f t="shared" si="46"/>
        <v>-3.7619021221554299</v>
      </c>
      <c r="CU240" s="32">
        <f t="shared" si="46"/>
        <v>-3.9312420426915651</v>
      </c>
      <c r="CV240" s="32">
        <f t="shared" si="46"/>
        <v>-3.7598984413991929</v>
      </c>
      <c r="CW240" s="32">
        <f t="shared" si="46"/>
        <v>-3.9564191592540534</v>
      </c>
      <c r="CX240" s="32">
        <f t="shared" si="46"/>
        <v>-3.7579834869573689</v>
      </c>
      <c r="CY240" s="32"/>
      <c r="CZ240" s="32"/>
      <c r="DA240" s="32"/>
      <c r="DB240" s="32"/>
      <c r="DC240" s="32"/>
      <c r="DD240" s="32"/>
      <c r="DE240" s="32"/>
      <c r="DF240" s="32"/>
      <c r="DG240" s="32"/>
    </row>
    <row r="241" spans="3:111" ht="20.350000000000001" customHeight="1" x14ac:dyDescent="0.45">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2"/>
      <c r="AB241" s="32"/>
      <c r="AC241" s="32"/>
      <c r="AD241" s="32"/>
      <c r="AE241" s="32"/>
      <c r="AF241" s="32"/>
      <c r="AG241" s="32"/>
      <c r="AH241" s="32"/>
      <c r="AI241" s="32"/>
      <c r="AJ241" s="32"/>
      <c r="AK241" s="32"/>
      <c r="AL241" s="32"/>
      <c r="AM241" s="32"/>
      <c r="AN241" s="32"/>
      <c r="AO241" s="32"/>
      <c r="AP241" s="32"/>
      <c r="AQ241" s="12"/>
      <c r="AR241" s="32"/>
      <c r="AS241" s="32"/>
      <c r="AT241" s="32"/>
      <c r="AU241" s="32"/>
      <c r="AV241" s="32"/>
      <c r="AW241" s="32"/>
      <c r="AX241" s="32"/>
      <c r="AY241" s="32"/>
      <c r="AZ241" s="32"/>
      <c r="BA241" s="32"/>
      <c r="BB241" s="32"/>
      <c r="BC241" s="32"/>
      <c r="BD241" s="32"/>
      <c r="BE241" s="32"/>
      <c r="BF241" s="32"/>
      <c r="BG241" s="32"/>
      <c r="BH241" s="32"/>
      <c r="BI241" s="32"/>
      <c r="BJ241" s="32"/>
      <c r="BK241" s="32"/>
      <c r="BL241" s="32"/>
      <c r="BM241" s="32"/>
      <c r="BN241" s="32"/>
      <c r="BO241" s="32"/>
      <c r="BP241" s="32"/>
      <c r="BQ241" s="32"/>
      <c r="BR241" s="32"/>
      <c r="BS241" s="32"/>
      <c r="BT241" s="32"/>
      <c r="BU241" s="32"/>
      <c r="BV241" s="32"/>
      <c r="BW241" s="32"/>
      <c r="BX241" s="32"/>
      <c r="BY241" s="32"/>
      <c r="BZ241" s="32"/>
      <c r="CA241" s="32"/>
      <c r="CB241" s="32"/>
      <c r="CC241" s="32"/>
      <c r="CD241" s="32"/>
      <c r="CE241" s="32"/>
      <c r="CF241" s="32"/>
      <c r="CG241" s="32"/>
      <c r="CH241" s="32"/>
      <c r="CI241" s="32"/>
      <c r="CJ241" s="32"/>
      <c r="CK241" s="32"/>
      <c r="CL241" s="32"/>
      <c r="CM241" s="32"/>
      <c r="CN241" s="32"/>
      <c r="CO241" s="32"/>
      <c r="CP241" s="32"/>
      <c r="CQ241" s="32"/>
      <c r="CR241" s="32"/>
      <c r="CS241" s="32"/>
      <c r="CT241" s="32"/>
      <c r="CU241" s="32"/>
      <c r="CV241" s="32"/>
      <c r="CW241" s="32"/>
      <c r="CX241" s="32"/>
      <c r="CY241" s="32"/>
      <c r="CZ241" s="32"/>
      <c r="DA241" s="32"/>
      <c r="DB241" s="32"/>
      <c r="DC241" s="32"/>
      <c r="DD241" s="32"/>
      <c r="DE241" s="32"/>
      <c r="DF241" s="32"/>
      <c r="DG241" s="32"/>
    </row>
    <row r="242" spans="3:111" ht="20.350000000000001" customHeight="1" x14ac:dyDescent="0.45">
      <c r="C242" s="32"/>
      <c r="D242" s="32"/>
      <c r="E242" s="32"/>
      <c r="F242" s="32"/>
      <c r="G242" s="32"/>
      <c r="H242" s="32"/>
      <c r="I242" s="47" t="s">
        <v>64</v>
      </c>
      <c r="J242" s="32">
        <f xml:space="preserve"> EXP( -C125*C127 ) * _xlfn.NORM.S.DIST(- E179, TRUE )</f>
        <v>0.41890460904695065</v>
      </c>
      <c r="K242" s="32"/>
      <c r="L242" s="32">
        <f>J242</f>
        <v>0.41890460904695065</v>
      </c>
      <c r="M242" s="32">
        <f>J243</f>
        <v>-1.8762017345846895E-2</v>
      </c>
      <c r="N242" s="32"/>
      <c r="O242" s="32"/>
      <c r="P242" s="32"/>
      <c r="Q242" s="32"/>
      <c r="R242" s="32"/>
      <c r="S242" s="32"/>
      <c r="T242" s="32"/>
      <c r="U242" s="32"/>
      <c r="V242" s="32"/>
      <c r="W242" s="32"/>
      <c r="X242" s="32"/>
      <c r="Y242" s="32"/>
      <c r="Z242" s="32"/>
      <c r="AA242" s="32"/>
      <c r="AB242" s="32"/>
      <c r="AC242" s="32"/>
      <c r="AD242" s="32"/>
      <c r="AE242" s="32"/>
      <c r="AF242" s="32"/>
      <c r="AG242" s="32"/>
      <c r="AH242" s="32"/>
      <c r="AI242" s="32"/>
      <c r="AJ242" s="32"/>
      <c r="AK242" s="32"/>
      <c r="AL242" s="32"/>
      <c r="AM242" s="32"/>
      <c r="AN242" s="32"/>
      <c r="AO242" s="32"/>
      <c r="AP242" s="32"/>
      <c r="AQ242" s="12"/>
      <c r="AR242" s="32"/>
      <c r="AS242" s="32"/>
      <c r="AT242" s="32"/>
      <c r="AU242" s="32"/>
      <c r="AV242" s="32"/>
      <c r="AW242" s="32"/>
      <c r="AX242" s="32"/>
      <c r="AY242" s="32"/>
      <c r="AZ242" s="32"/>
      <c r="BA242" s="32"/>
      <c r="BB242" s="32"/>
      <c r="BC242" s="32"/>
      <c r="BD242" s="32"/>
      <c r="BE242" s="32"/>
      <c r="BF242" s="32"/>
      <c r="BG242" s="32"/>
      <c r="BH242" s="32"/>
      <c r="BI242" s="32"/>
      <c r="BJ242" s="32"/>
      <c r="BK242" s="32"/>
      <c r="BL242" s="32"/>
      <c r="BM242" s="32"/>
      <c r="BN242" s="32"/>
      <c r="BO242" s="32"/>
      <c r="BP242" s="32"/>
      <c r="BQ242" s="32"/>
      <c r="BR242" s="32"/>
      <c r="BS242" s="32"/>
      <c r="BT242" s="32"/>
      <c r="BU242" s="32"/>
      <c r="BV242" s="32"/>
      <c r="BW242" s="32"/>
      <c r="BX242" s="32"/>
      <c r="BY242" s="32"/>
      <c r="BZ242" s="32"/>
      <c r="CA242" s="32"/>
      <c r="CB242" s="32"/>
      <c r="CC242" s="32"/>
      <c r="CD242" s="32"/>
      <c r="CE242" s="32"/>
      <c r="CF242" s="32"/>
      <c r="CG242" s="32"/>
      <c r="CH242" s="32"/>
      <c r="CI242" s="32"/>
      <c r="CJ242" s="32"/>
      <c r="CK242" s="32"/>
      <c r="CL242" s="32"/>
      <c r="CM242" s="32"/>
      <c r="CN242" s="32"/>
      <c r="CO242" s="32"/>
      <c r="CP242" s="32"/>
      <c r="CQ242" s="32"/>
      <c r="CR242" s="32"/>
      <c r="CS242" s="32"/>
      <c r="CT242" s="32"/>
      <c r="CU242" s="32"/>
      <c r="CV242" s="32"/>
      <c r="CW242" s="32"/>
      <c r="CX242" s="32"/>
      <c r="CY242" s="32"/>
      <c r="CZ242" s="32"/>
      <c r="DA242" s="32"/>
      <c r="DB242" s="32"/>
      <c r="DC242" s="32"/>
      <c r="DD242" s="32"/>
      <c r="DE242" s="32"/>
      <c r="DF242" s="32"/>
      <c r="DG242" s="32"/>
    </row>
    <row r="243" spans="3:111" ht="20.350000000000001" customHeight="1" x14ac:dyDescent="0.45">
      <c r="C243" s="32"/>
      <c r="D243" s="32"/>
      <c r="E243" s="32"/>
      <c r="F243" s="32"/>
      <c r="G243" s="32"/>
      <c r="H243" s="32"/>
      <c r="I243" s="47" t="s">
        <v>59</v>
      </c>
      <c r="J243" s="32">
        <f xml:space="preserve"> -EXP(-C125*C127)*_xlfn.NORM.S.DIST(E179,FALSE)/(C124*C126*SQRT(C127))</f>
        <v>-1.8762017345846895E-2</v>
      </c>
      <c r="K243" s="32"/>
      <c r="L243" s="32">
        <f>J242</f>
        <v>0.41890460904695065</v>
      </c>
      <c r="M243" s="32">
        <f>J243</f>
        <v>-1.8762017345846895E-2</v>
      </c>
      <c r="N243" s="32"/>
      <c r="O243" s="32"/>
      <c r="P243" s="32"/>
      <c r="Q243" s="32"/>
      <c r="R243" s="32"/>
      <c r="S243" s="32"/>
      <c r="T243" s="32"/>
      <c r="U243" s="32"/>
      <c r="V243" s="32"/>
      <c r="W243" s="32"/>
      <c r="X243" s="32"/>
      <c r="Y243" s="32"/>
      <c r="Z243" s="32"/>
      <c r="AA243" s="32"/>
      <c r="AB243" s="32"/>
      <c r="AC243" s="32"/>
      <c r="AD243" s="32"/>
      <c r="AE243" s="32"/>
      <c r="AF243" s="32"/>
      <c r="AG243" s="32"/>
      <c r="AH243" s="32"/>
      <c r="AI243" s="32"/>
      <c r="AJ243" s="32"/>
      <c r="AK243" s="32"/>
      <c r="AL243" s="32"/>
      <c r="AM243" s="32"/>
      <c r="AN243" s="32"/>
      <c r="AO243" s="32"/>
      <c r="AP243" s="32"/>
      <c r="AQ243" s="12"/>
      <c r="AR243" s="32"/>
      <c r="AS243" s="32"/>
      <c r="AT243" s="32"/>
      <c r="AU243" s="32"/>
      <c r="AV243" s="32"/>
      <c r="AW243" s="32"/>
      <c r="AX243" s="32"/>
      <c r="AY243" s="32"/>
      <c r="AZ243" s="32"/>
      <c r="BA243" s="32"/>
      <c r="BB243" s="32"/>
      <c r="BC243" s="32"/>
      <c r="BD243" s="32"/>
      <c r="BE243" s="32"/>
      <c r="BF243" s="32"/>
      <c r="BG243" s="32"/>
      <c r="BH243" s="32"/>
      <c r="BI243" s="32"/>
      <c r="BJ243" s="32"/>
      <c r="BK243" s="32"/>
      <c r="BL243" s="32"/>
      <c r="BM243" s="32"/>
      <c r="BN243" s="32"/>
      <c r="BO243" s="32"/>
      <c r="BP243" s="32"/>
      <c r="BQ243" s="32"/>
      <c r="BR243" s="32"/>
      <c r="BS243" s="32"/>
      <c r="BT243" s="32"/>
      <c r="BU243" s="32"/>
      <c r="BV243" s="32"/>
      <c r="BW243" s="32"/>
      <c r="BX243" s="32"/>
      <c r="BY243" s="32"/>
      <c r="BZ243" s="32"/>
      <c r="CA243" s="32"/>
      <c r="CB243" s="32"/>
      <c r="CC243" s="32"/>
      <c r="CD243" s="32"/>
      <c r="CE243" s="32"/>
      <c r="CF243" s="32"/>
      <c r="CG243" s="32"/>
      <c r="CH243" s="32"/>
      <c r="CI243" s="32"/>
      <c r="CJ243" s="32"/>
      <c r="CK243" s="32"/>
      <c r="CL243" s="32"/>
      <c r="CM243" s="32"/>
      <c r="CN243" s="32"/>
      <c r="CO243" s="32"/>
      <c r="CP243" s="32"/>
      <c r="CQ243" s="32"/>
      <c r="CR243" s="32"/>
      <c r="CS243" s="32"/>
      <c r="CT243" s="32"/>
      <c r="CU243" s="32"/>
      <c r="CV243" s="32"/>
      <c r="CW243" s="32"/>
      <c r="CX243" s="32"/>
      <c r="CY243" s="32"/>
      <c r="CZ243" s="32"/>
      <c r="DA243" s="32"/>
      <c r="DB243" s="32"/>
      <c r="DC243" s="32"/>
      <c r="DD243" s="32"/>
      <c r="DE243" s="32"/>
      <c r="DF243" s="32"/>
      <c r="DG243" s="32"/>
    </row>
    <row r="244" spans="3:111" ht="20.350000000000001" customHeight="1" x14ac:dyDescent="0.45">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2"/>
      <c r="AB244" s="32"/>
      <c r="AC244" s="32"/>
      <c r="AD244" s="32"/>
      <c r="AE244" s="32"/>
      <c r="AF244" s="32"/>
      <c r="AG244" s="32"/>
      <c r="AH244" s="32"/>
      <c r="AI244" s="32"/>
      <c r="AJ244" s="32"/>
      <c r="AK244" s="32"/>
      <c r="AL244" s="32"/>
      <c r="AM244" s="32"/>
      <c r="AN244" s="32"/>
      <c r="AO244" s="32"/>
      <c r="AP244" s="32"/>
      <c r="AQ244" s="12"/>
      <c r="AR244" s="32"/>
      <c r="AS244" s="32"/>
      <c r="AT244" s="32"/>
      <c r="AU244" s="32"/>
      <c r="AV244" s="32"/>
      <c r="AW244" s="32"/>
      <c r="AX244" s="32"/>
      <c r="AY244" s="32"/>
      <c r="AZ244" s="32"/>
      <c r="BA244" s="32"/>
      <c r="BB244" s="32"/>
      <c r="BC244" s="32"/>
      <c r="BD244" s="32"/>
      <c r="BE244" s="32"/>
      <c r="BF244" s="32"/>
      <c r="BG244" s="32"/>
      <c r="BH244" s="32"/>
      <c r="BI244" s="32"/>
      <c r="BJ244" s="32"/>
      <c r="BK244" s="32"/>
      <c r="BL244" s="32"/>
      <c r="BM244" s="32"/>
      <c r="BN244" s="32"/>
      <c r="BO244" s="32"/>
      <c r="BP244" s="32"/>
      <c r="BQ244" s="32"/>
      <c r="BR244" s="32"/>
      <c r="BS244" s="32"/>
      <c r="BT244" s="32"/>
      <c r="BU244" s="32"/>
      <c r="BV244" s="32"/>
      <c r="BW244" s="32"/>
      <c r="BX244" s="32"/>
      <c r="BY244" s="32"/>
      <c r="BZ244" s="32"/>
      <c r="CA244" s="32"/>
      <c r="CB244" s="32"/>
      <c r="CC244" s="32"/>
      <c r="CD244" s="32"/>
      <c r="CE244" s="32"/>
      <c r="CF244" s="32"/>
      <c r="CG244" s="32"/>
      <c r="CH244" s="32"/>
      <c r="CI244" s="32"/>
      <c r="CJ244" s="32"/>
      <c r="CK244" s="32"/>
      <c r="CL244" s="32"/>
      <c r="CM244" s="32"/>
      <c r="CN244" s="32"/>
      <c r="CO244" s="32"/>
      <c r="CP244" s="32"/>
      <c r="CQ244" s="32"/>
      <c r="CR244" s="32"/>
      <c r="CS244" s="32"/>
      <c r="CT244" s="32"/>
      <c r="CU244" s="32"/>
      <c r="CV244" s="32"/>
      <c r="CW244" s="32"/>
      <c r="CX244" s="32"/>
      <c r="CY244" s="32"/>
      <c r="CZ244" s="32"/>
      <c r="DA244" s="32"/>
      <c r="DB244" s="32"/>
      <c r="DC244" s="32"/>
      <c r="DD244" s="32"/>
      <c r="DE244" s="32"/>
      <c r="DF244" s="32"/>
      <c r="DG244" s="32"/>
    </row>
    <row r="245" spans="3:111" ht="20.350000000000001" customHeight="1" x14ac:dyDescent="0.45">
      <c r="C245" s="47" t="s">
        <v>73</v>
      </c>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2"/>
      <c r="AB245" s="32"/>
      <c r="AC245" s="32"/>
      <c r="AD245" s="32"/>
      <c r="AE245" s="32"/>
      <c r="AF245" s="32"/>
      <c r="AG245" s="32"/>
      <c r="AH245" s="32"/>
      <c r="AI245" s="32"/>
      <c r="AJ245" s="32"/>
      <c r="AK245" s="32"/>
      <c r="AL245" s="32"/>
      <c r="AM245" s="32"/>
      <c r="AN245" s="32"/>
      <c r="AO245" s="32"/>
      <c r="AP245" s="32"/>
      <c r="AQ245" s="12"/>
      <c r="AR245" s="32"/>
      <c r="AS245" s="32"/>
      <c r="AT245" s="32"/>
      <c r="AU245" s="32"/>
      <c r="AV245" s="32"/>
      <c r="AW245" s="32"/>
      <c r="AX245" s="32"/>
      <c r="AY245" s="32"/>
      <c r="AZ245" s="32"/>
      <c r="BA245" s="32"/>
      <c r="BB245" s="32"/>
      <c r="BC245" s="32"/>
      <c r="BD245" s="32"/>
      <c r="BE245" s="32"/>
      <c r="BF245" s="32"/>
      <c r="BG245" s="32"/>
      <c r="BH245" s="32"/>
      <c r="BI245" s="32"/>
      <c r="BJ245" s="32"/>
      <c r="BK245" s="32"/>
      <c r="BL245" s="32"/>
      <c r="BM245" s="32"/>
      <c r="BN245" s="32"/>
      <c r="BO245" s="32"/>
      <c r="BP245" s="32"/>
      <c r="BQ245" s="32"/>
      <c r="BR245" s="32"/>
      <c r="BS245" s="32"/>
      <c r="BT245" s="32"/>
      <c r="BU245" s="32"/>
      <c r="BV245" s="32"/>
      <c r="BW245" s="32"/>
      <c r="BX245" s="32"/>
      <c r="BY245" s="32"/>
      <c r="BZ245" s="32"/>
      <c r="CA245" s="32"/>
      <c r="CB245" s="32"/>
      <c r="CC245" s="32"/>
      <c r="CD245" s="32"/>
      <c r="CE245" s="32"/>
      <c r="CF245" s="32"/>
      <c r="CG245" s="32"/>
      <c r="CH245" s="32"/>
      <c r="CI245" s="32"/>
      <c r="CJ245" s="32"/>
      <c r="CK245" s="32"/>
      <c r="CL245" s="32"/>
      <c r="CM245" s="32"/>
      <c r="CN245" s="32"/>
      <c r="CO245" s="32"/>
      <c r="CP245" s="32"/>
      <c r="CQ245" s="32"/>
      <c r="CR245" s="32"/>
      <c r="CS245" s="32"/>
      <c r="CT245" s="32"/>
      <c r="CU245" s="32"/>
      <c r="CV245" s="32"/>
      <c r="CW245" s="32"/>
      <c r="CX245" s="32"/>
      <c r="CY245" s="32"/>
      <c r="CZ245" s="32"/>
      <c r="DA245" s="32"/>
      <c r="DB245" s="32"/>
      <c r="DC245" s="32"/>
      <c r="DD245" s="32"/>
      <c r="DE245" s="32"/>
      <c r="DF245" s="32"/>
      <c r="DG245" s="32"/>
    </row>
    <row r="246" spans="3:111" ht="20.350000000000001" customHeight="1" x14ac:dyDescent="0.45">
      <c r="C246" s="47" t="s">
        <v>38</v>
      </c>
      <c r="D246" s="32" cm="1">
        <f t="array" ref="D246">BullPrice($C124,$C125,$C126,$C127,D175,$C128,$C130)</f>
        <v>6.2165377751338502</v>
      </c>
      <c r="E246" s="32" cm="1">
        <f t="array" ref="E246">BullPrice($C124,$C125,$C126,$C127,E175,$C128,$C130)</f>
        <v>7.9137059596621437</v>
      </c>
      <c r="F246" s="32" cm="1">
        <f t="array" ref="F246">BullPrice($C124,$C125,$C126,$C127,F175,$C128,$C130)</f>
        <v>7.0368388221718474</v>
      </c>
      <c r="G246" s="32" cm="1">
        <f t="array" ref="G246">BullPrice($C124,$C125,$C126,$C127,G175,$C128,$C130)</f>
        <v>7.3206424824175356</v>
      </c>
      <c r="H246" s="32" cm="1">
        <f t="array" ref="H246">BullPrice($C124,$C125,$C126,$C127,H175,$C128,$C130)</f>
        <v>7.4482881919243225</v>
      </c>
      <c r="I246" s="32" cm="1">
        <f t="array" ref="I246">BullPrice($C124,$C125,$C126,$C127,I175,$C128,$C130)</f>
        <v>7.1982887720042372</v>
      </c>
      <c r="J246" s="32" cm="1">
        <f t="array" ref="J246">BullPrice($C124,$C125,$C126,$C127,J175,$C128,$C130)</f>
        <v>7.4201229190267552</v>
      </c>
      <c r="K246" s="32" cm="1">
        <f t="array" ref="K246">BullPrice($C124,$C125,$C126,$C127,K175,$C128,$C130)</f>
        <v>7.201333003697604</v>
      </c>
      <c r="L246" s="32" cm="1">
        <f t="array" ref="L246">BullPrice($C124,$C125,$C126,$C127,L175,$C128,$C130)</f>
        <v>7.279343377966252</v>
      </c>
      <c r="M246" s="32" cm="1">
        <f t="array" ref="M246">BullPrice($C124,$C125,$C126,$C127,M175,$C128,$C130)</f>
        <v>7.2453915648590685</v>
      </c>
      <c r="N246" s="32" cm="1">
        <f t="array" ref="N246">BullPrice($C124,$C125,$C126,$C127,N175,$C128,$C130)</f>
        <v>7.2159093715937574</v>
      </c>
      <c r="O246" s="32" cm="1">
        <f t="array" ref="O246">BullPrice($C124,$C125,$C126,$C127,O175,$C128,$C130)</f>
        <v>7.3029977093858172</v>
      </c>
      <c r="P246" s="32" cm="1">
        <f t="array" ref="P246">BullPrice($C124,$C125,$C126,$C127,P175,$C128,$C130)</f>
        <v>7.1936549099608982</v>
      </c>
      <c r="Q246" s="32" cm="1">
        <f t="array" ref="Q246">BullPrice($C124,$C125,$C126,$C127,Q175,$C128,$C130)</f>
        <v>7.3637984293373799</v>
      </c>
      <c r="R246" s="32" cm="1">
        <f t="array" ref="R246">BullPrice($C124,$C125,$C126,$C127,R175,$C128,$C130)</f>
        <v>7.1944895647467479</v>
      </c>
      <c r="S246" s="32" cm="1">
        <f t="array" ref="S246">BullPrice($C124,$C125,$C126,$C127,S175,$C128,$C130)</f>
        <v>7.3038966779557581</v>
      </c>
      <c r="T246" s="32" cm="1">
        <f t="array" ref="T246">BullPrice($C124,$C125,$C126,$C127,T175,$C128,$C130)</f>
        <v>7.2086681467920473</v>
      </c>
      <c r="U246" s="32" cm="1">
        <f t="array" ref="U246">BullPrice($C124,$C125,$C126,$C127,U175,$C128,$C130)</f>
        <v>7.2370733175867787</v>
      </c>
      <c r="V246" s="32" cm="1">
        <f t="array" ref="V246">BullPrice($C124,$C125,$C126,$C127,V175,$C128,$C130)</f>
        <v>7.2306434696427306</v>
      </c>
      <c r="W246" s="32" cm="1">
        <f t="array" ref="W246">BullPrice($C124,$C125,$C126,$C127,W175,$C128,$C130)</f>
        <v>7.1927410997228005</v>
      </c>
      <c r="X246" s="32" cm="1">
        <f t="array" ref="X246">BullPrice($C124,$C125,$C126,$C127,X175,$C128,$C130)</f>
        <v>7.2571243440208777</v>
      </c>
      <c r="Y246" s="32" cm="1">
        <f t="array" ref="Y246">BullPrice($C124,$C125,$C126,$C127,Y175,$C128,$C130)</f>
        <v>7.1644447761434709</v>
      </c>
      <c r="Z246" s="32" cm="1">
        <f t="array" ref="Z246">BullPrice($C124,$C125,$C126,$C127,Z175,$C128,$C130)</f>
        <v>7.2860967270613592</v>
      </c>
      <c r="AA246" s="32" cm="1">
        <f t="array" ref="AA246">BullPrice($C124,$C125,$C126,$C127,AA175,$C128,$C130)</f>
        <v>7.1477810023136765</v>
      </c>
      <c r="AB246" s="32" cm="1">
        <f t="array" ref="AB246">BullPrice($C124,$C125,$C126,$C127,AB175,$C128,$C130)</f>
        <v>7.3163003605225008</v>
      </c>
      <c r="AC246" s="32" cm="1">
        <f t="array" ref="AC246">BullPrice($C124,$C125,$C126,$C127,AC175,$C128,$C130)</f>
        <v>7.1396723632351913</v>
      </c>
      <c r="AD246" s="32" cm="1">
        <f t="array" ref="AD246">BullPrice($C124,$C125,$C126,$C127,AD175,$C128,$C130)</f>
        <v>7.329854956841813</v>
      </c>
      <c r="AE246" s="32" cm="1">
        <f t="array" ref="AE246">BullPrice($C124,$C125,$C126,$C127,AE175,$C128,$C130)</f>
        <v>7.1379230939039751</v>
      </c>
      <c r="AF246" s="32" cm="1">
        <f t="array" ref="AF246">BullPrice($C124,$C125,$C126,$C127,AF175,$C128,$C130)</f>
        <v>7.2958986926078264</v>
      </c>
      <c r="AG246" s="32" cm="1">
        <f t="array" ref="AG246">BullPrice($C124,$C125,$C126,$C127,AG175,$C128,$C130)</f>
        <v>7.1409383752111459</v>
      </c>
      <c r="AH246" s="32" cm="1">
        <f t="array" ref="AH246">BullPrice($C124,$C125,$C126,$C127,AH175,$C128,$C130)</f>
        <v>7.2699296423258977</v>
      </c>
      <c r="AI246" s="32" cm="1">
        <f t="array" ref="AI246">BullPrice($C124,$C125,$C126,$C127,AI175,$C128,$C130)</f>
        <v>7.1475419577860908</v>
      </c>
      <c r="AJ246" s="32" cm="1">
        <f t="array" ref="AJ246">BullPrice($C124,$C125,$C126,$C127,AJ175,$C128,$C130)</f>
        <v>7.2504127689725602</v>
      </c>
      <c r="AK246" s="32" cm="1">
        <f t="array" ref="AK246">BullPrice($C124,$C125,$C126,$C127,AK175,$C128,$C130)</f>
        <v>7.156854722983387</v>
      </c>
      <c r="AL246" s="32" cm="1">
        <f t="array" ref="AL246">BullPrice($C124,$C125,$C126,$C127,AL175,$C128,$C130)</f>
        <v>7.2361431760701738</v>
      </c>
      <c r="AM246" s="32" cm="1">
        <f t="array" ref="AM246">BullPrice($C124,$C125,$C126,$C127,AM175,$C128,$C130)</f>
        <v>7.168212042663515</v>
      </c>
      <c r="AN246" s="32" cm="1">
        <f t="array" ref="AN246">BullPrice($C124,$C125,$C126,$C127,AN175,$C128,$C130)</f>
        <v>7.2261660583070499</v>
      </c>
      <c r="AO246" s="32" cm="1">
        <f t="array" ref="AO246">BullPrice($C124,$C125,$C126,$C127,AO175,$C128,$C130)</f>
        <v>7.1811064432487495</v>
      </c>
      <c r="AP246" s="32" cm="1">
        <f t="array" ref="AP246">BullPrice($C124,$C125,$C126,$C127,AP175,$C128,$C130)</f>
        <v>7.2197181803355814</v>
      </c>
      <c r="AQ246" s="32" cm="1">
        <f t="array" ref="AQ246">BullPrice($C124,$C125,$C126,$C127,AQ175,$C128,$C130)</f>
        <v>7.1951471316639104</v>
      </c>
      <c r="AR246" s="32" cm="1">
        <f t="array" ref="AR246">BullPrice($C124,$C125,$C126,$C127,AR175,$C128,$C130)</f>
        <v>7.2161845712431498</v>
      </c>
      <c r="AS246" s="32" cm="1">
        <f t="array" ref="AS246">BullPrice($C124,$C125,$C126,$C127,AS175,$C128,$C130)</f>
        <v>7.2100309766390493</v>
      </c>
      <c r="AT246" s="32" cm="1">
        <f t="array" ref="AT246">BullPrice($C124,$C125,$C126,$C127,AT175,$C128,$C130)</f>
        <v>7.2150661101465703</v>
      </c>
      <c r="AU246" s="32" cm="1">
        <f t="array" ref="AU246">BullPrice($C124,$C125,$C126,$C127,AU175,$C128,$C130)</f>
        <v>7.1934078447144509</v>
      </c>
      <c r="AV246" s="32" cm="1">
        <f t="array" ref="AV246">BullPrice($C124,$C125,$C126,$C127,AV175,$C128,$C130)</f>
        <v>7.2159550026647601</v>
      </c>
      <c r="AW246" s="32" cm="1">
        <f t="array" ref="AW246">BullPrice($C124,$C125,$C126,$C127,AW175,$C128,$C130)</f>
        <v>7.1841834072869899</v>
      </c>
      <c r="AX246" s="32" cm="1">
        <f t="array" ref="AX246">BullPrice($C124,$C125,$C126,$C127,AX175,$C128,$C130)</f>
        <v>7.218516040783479</v>
      </c>
      <c r="AY246" s="32" cm="1">
        <f t="array" ref="AY246">BullPrice($C124,$C125,$C126,$C127,AY175,$C128,$C130)</f>
        <v>7.1772669823553787</v>
      </c>
      <c r="AZ246" s="32" cm="1">
        <f t="array" ref="AZ246">BullPrice($C124,$C125,$C126,$C127,AZ175,$C128,$C130)</f>
        <v>7.2224721478382348</v>
      </c>
      <c r="BA246" s="32" cm="1">
        <f t="array" ref="BA246">BullPrice($C124,$C125,$C126,$C127,BA175,$C128,$C130)</f>
        <v>7.1723462728573635</v>
      </c>
      <c r="BB246" s="32" cm="1">
        <f t="array" ref="BB246">BullPrice($C124,$C125,$C126,$C127,BB175,$C128,$C130)</f>
        <v>7.2275931311548751</v>
      </c>
      <c r="BC246" s="32" cm="1">
        <f t="array" ref="BC246">BullPrice($C124,$C125,$C126,$C127,BC175,$C128,$C130)</f>
        <v>7.1691549483768604</v>
      </c>
      <c r="BD246" s="32" cm="1">
        <f t="array" ref="BD246">BullPrice($C124,$C125,$C126,$C127,BD175,$C128,$C130)</f>
        <v>7.2336868590127503</v>
      </c>
      <c r="BE246" s="32" cm="1">
        <f t="array" ref="BE246">BullPrice($C124,$C125,$C126,$C127,BE175,$C128,$C130)</f>
        <v>7.1674650463329721</v>
      </c>
      <c r="BF246" s="32" cm="1">
        <f t="array" ref="BF246">BullPrice($C124,$C125,$C126,$C127,BF175,$C128,$C130)</f>
        <v>7.2405922865110339</v>
      </c>
      <c r="BG246" s="32" cm="1">
        <f t="array" ref="BG246">BullPrice($C124,$C125,$C126,$C127,BG175,$C128,$C130)</f>
        <v>7.1670807659985343</v>
      </c>
      <c r="BH246" s="32" cm="1">
        <f t="array" ref="BH246">BullPrice($C124,$C125,$C126,$C127,BH175,$C128,$C130)</f>
        <v>7.2481739035096595</v>
      </c>
      <c r="BI246" s="32" cm="1">
        <f t="array" ref="BI246">BullPrice($C124,$C125,$C126,$C127,BI175,$C128,$C130)</f>
        <v>7.1678333776034542</v>
      </c>
      <c r="BJ246" s="32" cm="1">
        <f t="array" ref="BJ246">BullPrice($C124,$C125,$C126,$C127,BJ175,$C128,$C130)</f>
        <v>7.2563172851083753</v>
      </c>
      <c r="BK246" s="32" cm="1">
        <f t="array" ref="BK246">BullPrice($C124,$C125,$C126,$C127,BK175,$C128,$C130)</f>
        <v>7.1695770278199964</v>
      </c>
      <c r="BL246" s="32" cm="1">
        <f t="array" ref="BL246">BullPrice($C124,$C125,$C126,$C127,BL175,$C128,$C130)</f>
        <v>7.2648747405054968</v>
      </c>
      <c r="BM246" s="32" cm="1">
        <f t="array" ref="BM246">BullPrice($C124,$C125,$C126,$C127,BM175,$C128,$C130)</f>
        <v>7.1721852689062331</v>
      </c>
      <c r="BN246" s="32" cm="1">
        <f t="array" ref="BN246">BullPrice($C124,$C125,$C126,$C127,BN175,$C128,$C130)</f>
        <v>7.2532979031627756</v>
      </c>
      <c r="BO246" s="32" cm="1">
        <f t="array" ref="BO246">BullPrice($C124,$C125,$C126,$C127,BO175,$C128,$C130)</f>
        <v>7.1755481745799363</v>
      </c>
      <c r="BP246" s="32" cm="1">
        <f t="array" ref="BP246">BullPrice($C124,$C125,$C126,$C127,BP175,$C128,$C130)</f>
        <v>7.2432992662549402</v>
      </c>
      <c r="BQ246" s="32" cm="1">
        <f t="array" ref="BQ246">BullPrice($C124,$C125,$C126,$C127,BQ175,$C128,$C130)</f>
        <v>7.1795699336695664</v>
      </c>
      <c r="BR246" s="32" cm="1">
        <f t="array" ref="BR246">BullPrice($C124,$C125,$C126,$C127,BR175,$C128,$C130)</f>
        <v>7.2347225862345494</v>
      </c>
      <c r="BS246" s="32" cm="1">
        <f t="array" ref="BS246">BullPrice($C124,$C125,$C126,$C127,BS175,$C128,$C130)</f>
        <v>7.184166834479246</v>
      </c>
      <c r="BT246" s="32" cm="1">
        <f t="array" ref="BT246">BullPrice($C124,$C125,$C126,$C127,BT175,$C128,$C130)</f>
        <v>7.227429041167734</v>
      </c>
      <c r="BU246" s="32" cm="1">
        <f t="array" ref="BU246">BullPrice($C124,$C125,$C126,$C127,BU175,$C128,$C130)</f>
        <v>7.1892655700106172</v>
      </c>
      <c r="BV246" s="32" cm="1">
        <f t="array" ref="BV246">BullPrice($C124,$C125,$C126,$C127,BV175,$C128,$C130)</f>
        <v>7.2212950080256997</v>
      </c>
      <c r="BW246" s="32" cm="1">
        <f t="array" ref="BW246">BullPrice($C124,$C125,$C126,$C127,BW175,$C128,$C130)</f>
        <v>7.1948018077474778</v>
      </c>
      <c r="BX246" s="32" cm="1">
        <f t="array" ref="BX246">BullPrice($C124,$C125,$C126,$C127,BX175,$C128,$C130)</f>
        <v>7.216210159298309</v>
      </c>
      <c r="BY246" s="32" cm="1">
        <f t="array" ref="BY246">BullPrice($C124,$C125,$C126,$C127,BY175,$C128,$C130)</f>
        <v>7.2007189784563765</v>
      </c>
      <c r="BZ246" s="32" cm="1">
        <f t="array" ref="BZ246">BullPrice($C124,$C125,$C126,$C127,BZ175,$C128,$C130)</f>
        <v>7.2120758282304571</v>
      </c>
      <c r="CA246" s="32" cm="1">
        <f t="array" ref="CA246">BullPrice($C124,$C125,$C126,$C127,CA175,$C128,$C130)</f>
        <v>7.2069672469976851</v>
      </c>
      <c r="CB246" s="32" cm="1">
        <f t="array" ref="CB246">BullPrice($C124,$C125,$C126,$C127,CB175,$C128,$C130)</f>
        <v>7.2088036007336802</v>
      </c>
      <c r="CC246" s="32" cm="1">
        <f t="array" ref="CC246">BullPrice($C124,$C125,$C126,$C127,CC175,$C128,$C130)</f>
        <v>7.2135026349532412</v>
      </c>
      <c r="CD246" s="32" cm="1">
        <f t="array" ref="CD246">BullPrice($C124,$C125,$C126,$C127,CD175,$C128,$C130)</f>
        <v>7.2063140991366863</v>
      </c>
      <c r="CE246" s="32" cm="1">
        <f t="array" ref="CE246">BullPrice($C124,$C125,$C126,$C127,CE175,$C128,$C130)</f>
        <v>7.220286270345623</v>
      </c>
      <c r="CF246" s="32" cm="1">
        <f t="array" ref="CF246">BullPrice($C124,$C125,$C126,$C127,CF175,$C128,$C130)</f>
        <v>7.2045359287835105</v>
      </c>
      <c r="CG246" s="32" cm="1">
        <f t="array" ref="CG246">BullPrice($C124,$C125,$C126,$C127,CG175,$C128,$C130)</f>
        <v>7.2272837441201219</v>
      </c>
      <c r="CH246" s="32" cm="1">
        <f t="array" ref="CH246">BullPrice($C124,$C125,$C126,$C127,CH175,$C128,$C130)</f>
        <v>7.2034047632703819</v>
      </c>
      <c r="CI246" s="32" cm="1">
        <f t="array" ref="CI246">BullPrice($C124,$C125,$C126,$C127,CI175,$C128,$C130)</f>
        <v>7.2305286009748055</v>
      </c>
      <c r="CJ246" s="32" cm="1">
        <f t="array" ref="CJ246">BullPrice($C124,$C125,$C126,$C127,CJ175,$C128,$C130)</f>
        <v>7.2028625480419199</v>
      </c>
      <c r="CK246" s="32" cm="1">
        <f t="array" ref="CK246">BullPrice($C124,$C125,$C126,$C127,CK175,$C128,$C130)</f>
        <v>7.2249839525345108</v>
      </c>
      <c r="CL246" s="32" cm="1">
        <f t="array" ref="CL246">BullPrice($C124,$C125,$C126,$C127,CL175,$C128,$C130)</f>
        <v>7.2028568053200281</v>
      </c>
      <c r="CM246" s="32" cm="1">
        <f t="array" ref="CM246">BullPrice($C124,$C125,$C126,$C127,CM175,$C128,$C130)</f>
        <v>7.2201588073758582</v>
      </c>
      <c r="CN246" s="32" cm="1">
        <f t="array" ref="CN246">BullPrice($C124,$C125,$C126,$C127,CN175,$C128,$C130)</f>
        <v>7.2033400260173952</v>
      </c>
      <c r="CO246" s="32" cm="1">
        <f t="array" ref="CO246">BullPrice($C124,$C125,$C126,$C127,CO175,$C128,$C130)</f>
        <v>7.2159985529026907</v>
      </c>
      <c r="CP246" s="32" cm="1">
        <f t="array" ref="CP246">BullPrice($C124,$C125,$C126,$C127,CP175,$C128,$C130)</f>
        <v>7.204269136519649</v>
      </c>
      <c r="CQ246" s="32" cm="1">
        <f t="array" ref="CQ246">BullPrice($C124,$C125,$C126,$C127,CQ175,$C128,$C130)</f>
        <v>7.2124531731979742</v>
      </c>
      <c r="CR246" s="32" cm="1">
        <f t="array" ref="CR246">BullPrice($C124,$C125,$C126,$C127,CR175,$C128,$C130)</f>
        <v>7.2056050300681989</v>
      </c>
      <c r="CS246" s="32" cm="1">
        <f t="array" ref="CS246">BullPrice($C124,$C125,$C126,$C127,CS175,$C128,$C130)</f>
        <v>7.209476807845574</v>
      </c>
      <c r="CT246" s="32" cm="1">
        <f t="array" ref="CT246">BullPrice($C124,$C125,$C126,$C127,CT175,$C128,$C130)</f>
        <v>7.2073121540268774</v>
      </c>
      <c r="CU246" s="32" cm="1">
        <f t="array" ref="CU246">BullPrice($C124,$C125,$C126,$C127,CU175,$C128,$C130)</f>
        <v>7.2070273583448818</v>
      </c>
      <c r="CV246" s="32" cm="1">
        <f t="array" ref="CV246">BullPrice($C124,$C125,$C126,$C127,CV175,$C128,$C130)</f>
        <v>7.2093581456061298</v>
      </c>
      <c r="CW246" s="32" cm="1">
        <f t="array" ref="CW246">BullPrice($C124,$C125,$C126,$C127,CW175,$C128,$C130)</f>
        <v>7.2050661364620856</v>
      </c>
      <c r="CX246" s="32" cm="1">
        <f t="array" ref="CX246">BullPrice($C124,$C125,$C126,$C127,CX175,$C128,$C130)</f>
        <v>7.211713509700612</v>
      </c>
      <c r="CY246" s="32"/>
      <c r="CZ246" s="32"/>
      <c r="DA246" s="32"/>
      <c r="DB246" s="32"/>
      <c r="DC246" s="32"/>
      <c r="DD246" s="32"/>
      <c r="DE246" s="32"/>
      <c r="DF246" s="32"/>
      <c r="DG246" s="32"/>
    </row>
    <row r="247" spans="3:111" ht="20.350000000000001" customHeight="1" x14ac:dyDescent="0.45">
      <c r="C247" s="47" t="s">
        <v>49</v>
      </c>
      <c r="D247" s="32" cm="1">
        <f t="array" ref="D247">BullDelta($C124,$C125,$C126,$C127,D175,$C128,$C130)</f>
        <v>0.34493013716416959</v>
      </c>
      <c r="E247" s="32" cm="1">
        <f t="array" ref="E247">BullDelta($C124,$C125,$C126,$C127,E175,$C128,$C130)</f>
        <v>0.37190047489565892</v>
      </c>
      <c r="F247" s="32" cm="1">
        <f t="array" ref="F247">BullDelta($C124,$C125,$C126,$C127,F175,$C128,$C130)</f>
        <v>0.3612818732465129</v>
      </c>
      <c r="G247" s="32" cm="1">
        <f t="array" ref="G247">BullDelta($C124,$C125,$C126,$C127,G175,$C128,$C130)</f>
        <v>0.35335300805871495</v>
      </c>
      <c r="H247" s="32" cm="1">
        <f t="array" ref="H247">BullDelta($C124,$C125,$C126,$C127,H175,$C128,$C130)</f>
        <v>0.36717662861461647</v>
      </c>
      <c r="I247" s="32" cm="1">
        <f t="array" ref="I247">BullDelta($C124,$C125,$C126,$C127,I175,$C128,$C130)</f>
        <v>0.35204104743954434</v>
      </c>
      <c r="J247" s="32" cm="1">
        <f t="array" ref="J247">BullDelta($C124,$C125,$C126,$C127,J175,$C128,$C130)</f>
        <v>0.36003418773309342</v>
      </c>
      <c r="K247" s="32" cm="1">
        <f t="array" ref="K247">BullDelta($C124,$C125,$C126,$C127,K175,$C128,$C130)</f>
        <v>0.35362244033742501</v>
      </c>
      <c r="L247" s="32" cm="1">
        <f t="array" ref="L247">BullDelta($C124,$C125,$C126,$C127,L175,$C128,$C130)</f>
        <v>0.35274474665903105</v>
      </c>
      <c r="M247" s="32" cm="1">
        <f t="array" ref="M247">BullDelta($C124,$C125,$C126,$C127,M175,$C128,$C130)</f>
        <v>0.35565923782925757</v>
      </c>
      <c r="N247" s="32" cm="1">
        <f t="array" ref="N247">BullDelta($C124,$C125,$C126,$C127,N175,$C128,$C130)</f>
        <v>0.34990742812284326</v>
      </c>
      <c r="O247" s="32" cm="1">
        <f t="array" ref="O247">BullDelta($C124,$C125,$C126,$C127,O175,$C128,$C130)</f>
        <v>0.35760392501637495</v>
      </c>
      <c r="P247" s="32" cm="1">
        <f t="array" ref="P247">BullDelta($C124,$C125,$C126,$C127,P175,$C128,$C130)</f>
        <v>0.34908461034984894</v>
      </c>
      <c r="Q247" s="32" cm="1">
        <f t="array" ref="Q247">BullDelta($C124,$C125,$C126,$C127,Q175,$C128,$C130)</f>
        <v>0.35933738191714598</v>
      </c>
      <c r="R247" s="32" cm="1">
        <f t="array" ref="R247">BullDelta($C124,$C125,$C126,$C127,R175,$C128,$C130)</f>
        <v>0.34922978827313217</v>
      </c>
      <c r="S247" s="32" cm="1">
        <f t="array" ref="S247">BullDelta($C124,$C125,$C126,$C127,S175,$C128,$C130)</f>
        <v>0.35648511643042857</v>
      </c>
      <c r="T247" s="32" cm="1">
        <f t="array" ref="T247">BullDelta($C124,$C125,$C126,$C127,T175,$C128,$C130)</f>
        <v>0.34984998869723627</v>
      </c>
      <c r="U247" s="32" cm="1">
        <f t="array" ref="U247">BullDelta($C124,$C125,$C126,$C127,U175,$C128,$C130)</f>
        <v>0.35376676128933643</v>
      </c>
      <c r="V247" s="32" cm="1">
        <f t="array" ref="V247">BullDelta($C124,$C125,$C126,$C127,V175,$C128,$C130)</f>
        <v>0.35069764936864861</v>
      </c>
      <c r="W247" s="32" cm="1">
        <f t="array" ref="W247">BullDelta($C124,$C125,$C126,$C127,W175,$C128,$C130)</f>
        <v>0.35211182078280634</v>
      </c>
      <c r="X247" s="32" cm="1">
        <f t="array" ref="X247">BullDelta($C124,$C125,$C126,$C127,X175,$C128,$C130)</f>
        <v>0.35164300222758799</v>
      </c>
      <c r="Y247" s="32" cm="1">
        <f t="array" ref="Y247">BullDelta($C124,$C125,$C126,$C127,Y175,$C128,$C130)</f>
        <v>0.35115767318946556</v>
      </c>
      <c r="Z247" s="32" cm="1">
        <f t="array" ref="Z247">BullDelta($C124,$C125,$C126,$C127,Z175,$C128,$C130)</f>
        <v>0.35261629823229074</v>
      </c>
      <c r="AA247" s="32" cm="1">
        <f t="array" ref="AA247">BullDelta($C124,$C125,$C126,$C127,AA175,$C128,$C130)</f>
        <v>0.35067428259911959</v>
      </c>
      <c r="AB247" s="32" cm="1">
        <f t="array" ref="AB247">BullDelta($C124,$C125,$C126,$C127,AB175,$C128,$C130)</f>
        <v>0.35357978348496072</v>
      </c>
      <c r="AC247" s="32" cm="1">
        <f t="array" ref="AC247">BullDelta($C124,$C125,$C126,$C127,AC175,$C128,$C130)</f>
        <v>0.35051146631425639</v>
      </c>
      <c r="AD247" s="32" cm="1">
        <f t="array" ref="AD247">BullDelta($C124,$C125,$C126,$C127,AD175,$C128,$C130)</f>
        <v>0.35386662097699922</v>
      </c>
      <c r="AE247" s="32" cm="1">
        <f t="array" ref="AE247">BullDelta($C124,$C125,$C126,$C127,AE175,$C128,$C130)</f>
        <v>0.35056880264975704</v>
      </c>
      <c r="AF247" s="32" cm="1">
        <f t="array" ref="AF247">BullDelta($C124,$C125,$C126,$C127,AF175,$C128,$C130)</f>
        <v>0.35242257760583751</v>
      </c>
      <c r="AG247" s="32" cm="1">
        <f t="array" ref="AG247">BullDelta($C124,$C125,$C126,$C127,AG175,$C128,$C130)</f>
        <v>0.35077779191007691</v>
      </c>
      <c r="AH247" s="32" cm="1">
        <f t="array" ref="AH247">BullDelta($C124,$C125,$C126,$C127,AH175,$C128,$C130)</f>
        <v>0.35137944603635024</v>
      </c>
      <c r="AI247" s="32" cm="1">
        <f t="array" ref="AI247">BullDelta($C124,$C125,$C126,$C127,AI175,$C128,$C130)</f>
        <v>0.35109092900549388</v>
      </c>
      <c r="AJ247" s="32" cm="1">
        <f t="array" ref="AJ247">BullDelta($C124,$C125,$C126,$C127,AJ175,$C128,$C130)</f>
        <v>0.35064372254675702</v>
      </c>
      <c r="AK247" s="32" cm="1">
        <f t="array" ref="AK247">BullDelta($C124,$C125,$C126,$C127,AK175,$C128,$C130)</f>
        <v>0.35147481688137933</v>
      </c>
      <c r="AL247" s="32" cm="1">
        <f t="array" ref="AL247">BullDelta($C124,$C125,$C126,$C127,AL175,$C128,$C130)</f>
        <v>0.35014556074105652</v>
      </c>
      <c r="AM247" s="32" cm="1">
        <f t="array" ref="AM247">BullDelta($C124,$C125,$C126,$C127,AM175,$C128,$C130)</f>
        <v>0.35190571739190785</v>
      </c>
      <c r="AN247" s="32" cm="1">
        <f t="array" ref="AN247">BullDelta($C124,$C125,$C126,$C127,AN175,$C128,$C130)</f>
        <v>0.34983215892123248</v>
      </c>
      <c r="AO247" s="32" cm="1">
        <f t="array" ref="AO247">BullDelta($C124,$C125,$C126,$C127,AO175,$C128,$C130)</f>
        <v>0.35236661344157166</v>
      </c>
      <c r="AP247" s="32" cm="1">
        <f t="array" ref="AP247">BullDelta($C124,$C125,$C126,$C127,AP175,$C128,$C130)</f>
        <v>0.34966317306848516</v>
      </c>
      <c r="AQ247" s="32" cm="1">
        <f t="array" ref="AQ247">BullDelta($C124,$C125,$C126,$C127,AQ175,$C128,$C130)</f>
        <v>0.35284523123086642</v>
      </c>
      <c r="AR247" s="32" cm="1">
        <f t="array" ref="AR247">BullDelta($C124,$C125,$C126,$C127,AR175,$C128,$C130)</f>
        <v>0.34960748312871098</v>
      </c>
      <c r="AS247" s="32" cm="1">
        <f t="array" ref="AS247">BullDelta($C124,$C125,$C126,$C127,AS175,$C128,$C130)</f>
        <v>0.35333268581605887</v>
      </c>
      <c r="AT247" s="32" cm="1">
        <f t="array" ref="AT247">BullDelta($C124,$C125,$C126,$C127,AT175,$C128,$C130)</f>
        <v>0.34964087952519951</v>
      </c>
      <c r="AU247" s="32" cm="1">
        <f t="array" ref="AU247">BullDelta($C124,$C125,$C126,$C127,AU175,$C128,$C130)</f>
        <v>0.35251586491816433</v>
      </c>
      <c r="AV247" s="32" cm="1">
        <f t="array" ref="AV247">BullDelta($C124,$C125,$C126,$C127,AV175,$C128,$C130)</f>
        <v>0.34974438561230209</v>
      </c>
      <c r="AW247" s="32" cm="1">
        <f t="array" ref="AW247">BullDelta($C124,$C125,$C126,$C127,AW175,$C128,$C130)</f>
        <v>0.35181084353656245</v>
      </c>
      <c r="AX247" s="32" cm="1">
        <f t="array" ref="AX247">BullDelta($C124,$C125,$C126,$C127,AX175,$C128,$C130)</f>
        <v>0.34990302618237007</v>
      </c>
      <c r="AY247" s="32" cm="1">
        <f t="array" ref="AY247">BullDelta($C124,$C125,$C126,$C127,AY175,$C128,$C130)</f>
        <v>0.35125137644780186</v>
      </c>
      <c r="AZ247" s="32" cm="1">
        <f t="array" ref="AZ247">BullDelta($C124,$C125,$C126,$C127,AZ175,$C128,$C130)</f>
        <v>0.35010491314060799</v>
      </c>
      <c r="BA247" s="32" cm="1">
        <f t="array" ref="BA247">BullDelta($C124,$C125,$C126,$C127,BA175,$C128,$C130)</f>
        <v>0.35081404476071365</v>
      </c>
      <c r="BB247" s="32" cm="1">
        <f t="array" ref="BB247">BullDelta($C124,$C125,$C126,$C127,BB175,$C128,$C130)</f>
        <v>0.35034055956195342</v>
      </c>
      <c r="BC247" s="32" cm="1">
        <f t="array" ref="BC247">BullDelta($C124,$C125,$C126,$C127,BC175,$C128,$C130)</f>
        <v>0.35047952823647749</v>
      </c>
      <c r="BD247" s="32" cm="1">
        <f t="array" ref="BD247">BullDelta($C124,$C125,$C126,$C127,BD175,$C128,$C130)</f>
        <v>0.35060236012351836</v>
      </c>
      <c r="BE247" s="32" cm="1">
        <f t="array" ref="BE247">BullDelta($C124,$C125,$C126,$C127,BE175,$C128,$C130)</f>
        <v>0.35023180475197851</v>
      </c>
      <c r="BF247" s="32" cm="1">
        <f t="array" ref="BF247">BullDelta($C124,$C125,$C126,$C127,BF175,$C128,$C130)</f>
        <v>0.35088419405435339</v>
      </c>
      <c r="BG247" s="32" cm="1">
        <f t="array" ref="BG247">BullDelta($C124,$C125,$C126,$C127,BG175,$C128,$C130)</f>
        <v>0.35005752306781363</v>
      </c>
      <c r="BH247" s="32" cm="1">
        <f t="array" ref="BH247">BullDelta($C124,$C125,$C126,$C127,BH175,$C128,$C130)</f>
        <v>0.35118111921268147</v>
      </c>
      <c r="BI247" s="32" cm="1">
        <f t="array" ref="BI247">BullDelta($C124,$C125,$C126,$C127,BI175,$C128,$C130)</f>
        <v>0.34994550779345951</v>
      </c>
      <c r="BJ247" s="32" cm="1">
        <f t="array" ref="BJ247">BullDelta($C124,$C125,$C126,$C127,BJ175,$C128,$C130)</f>
        <v>0.35148913457620506</v>
      </c>
      <c r="BK247" s="32" cm="1">
        <f t="array" ref="BK247">BullDelta($C124,$C125,$C126,$C127,BK175,$C128,$C130)</f>
        <v>0.34988636600749579</v>
      </c>
      <c r="BL247" s="32" cm="1">
        <f t="array" ref="BL247">BullDelta($C124,$C125,$C126,$C127,BL175,$C128,$C130)</f>
        <v>0.35180305891360608</v>
      </c>
      <c r="BM247" s="32" cm="1">
        <f t="array" ref="BM247">BullDelta($C124,$C125,$C126,$C127,BM175,$C128,$C130)</f>
        <v>0.34987217264236681</v>
      </c>
      <c r="BN247" s="32" cm="1">
        <f t="array" ref="BN247">BullDelta($C124,$C125,$C126,$C127,BN175,$C128,$C130)</f>
        <v>0.35135227196341628</v>
      </c>
      <c r="BO247" s="32" cm="1">
        <f t="array" ref="BO247">BullDelta($C124,$C125,$C126,$C127,BO175,$C128,$C130)</f>
        <v>0.34989621733589849</v>
      </c>
      <c r="BP247" s="32" cm="1">
        <f t="array" ref="BP247">BullDelta($C124,$C125,$C126,$C127,BP175,$C128,$C130)</f>
        <v>0.35097493493022197</v>
      </c>
      <c r="BQ247" s="32" cm="1">
        <f t="array" ref="BQ247">BullDelta($C124,$C125,$C126,$C127,BQ175,$C128,$C130)</f>
        <v>0.34995279957578918</v>
      </c>
      <c r="BR247" s="32" cm="1">
        <f t="array" ref="BR247">BullDelta($C124,$C125,$C126,$C127,BR175,$C128,$C130)</f>
        <v>0.35066213910295019</v>
      </c>
      <c r="BS247" s="32" cm="1">
        <f t="array" ref="BS247">BullDelta($C124,$C125,$C126,$C127,BS175,$C128,$C130)</f>
        <v>0.35003706202994739</v>
      </c>
      <c r="BT247" s="32" cm="1">
        <f t="array" ref="BT247">BullDelta($C124,$C125,$C126,$C127,BT175,$C128,$C130)</f>
        <v>0.35040615141925696</v>
      </c>
      <c r="BU247" s="32" cm="1">
        <f t="array" ref="BU247">BullDelta($C124,$C125,$C126,$C127,BU175,$C128,$C130)</f>
        <v>0.35014485425387865</v>
      </c>
      <c r="BV247" s="32" cm="1">
        <f t="array" ref="BV247">BullDelta($C124,$C125,$C126,$C127,BV175,$C128,$C130)</f>
        <v>0.35020024060176208</v>
      </c>
      <c r="BW247" s="32" cm="1">
        <f t="array" ref="BW247">BullDelta($C124,$C125,$C126,$C127,BW175,$C128,$C130)</f>
        <v>0.35027262070175996</v>
      </c>
      <c r="BX247" s="32" cm="1">
        <f t="array" ref="BX247">BullDelta($C124,$C125,$C126,$C127,BX175,$C128,$C130)</f>
        <v>0.35003853192710499</v>
      </c>
      <c r="BY247" s="32" cm="1">
        <f t="array" ref="BY247">BullDelta($C124,$C125,$C126,$C127,BY175,$C128,$C130)</f>
        <v>0.35041730828796647</v>
      </c>
      <c r="BZ247" s="32" cm="1">
        <f t="array" ref="BZ247">BullDelta($C124,$C125,$C126,$C127,BZ175,$C128,$C130)</f>
        <v>0.34991588543814195</v>
      </c>
      <c r="CA247" s="32" cm="1">
        <f t="array" ref="CA247">BullDelta($C124,$C125,$C126,$C127,CA175,$C128,$C130)</f>
        <v>0.35057628975670307</v>
      </c>
      <c r="CB247" s="32" cm="1">
        <f t="array" ref="CB247">BullDelta($C124,$C125,$C126,$C127,CB175,$C128,$C130)</f>
        <v>0.34982779343318737</v>
      </c>
      <c r="CC247" s="32" cm="1">
        <f t="array" ref="CC247">BullDelta($C124,$C125,$C126,$C127,CC175,$C128,$C130)</f>
        <v>0.35074729989625963</v>
      </c>
      <c r="CD247" s="32" cm="1">
        <f t="array" ref="CD247">BullDelta($C124,$C125,$C126,$C127,CD175,$C128,$C130)</f>
        <v>0.34977029387169756</v>
      </c>
      <c r="CE247" s="32" cm="1">
        <f t="array" ref="CE247">BullDelta($C124,$C125,$C126,$C127,CE175,$C128,$C130)</f>
        <v>0.35092838223874201</v>
      </c>
      <c r="CF247" s="32" cm="1">
        <f t="array" ref="CF247">BullDelta($C124,$C125,$C126,$C127,CF175,$C128,$C130)</f>
        <v>0.34973989697413488</v>
      </c>
      <c r="CG247" s="32" cm="1">
        <f t="array" ref="CG247">BullDelta($C124,$C125,$C126,$C127,CG175,$C128,$C130)</f>
        <v>0.35111784435734406</v>
      </c>
      <c r="CH247" s="32" cm="1">
        <f t="array" ref="CH247">BullDelta($C124,$C125,$C126,$C127,CH175,$C128,$C130)</f>
        <v>0.34973352280105136</v>
      </c>
      <c r="CI247" s="32" cm="1">
        <f t="array" ref="CI247">BullDelta($C124,$C125,$C126,$C127,CI175,$C128,$C130)</f>
        <v>0.35116471233360957</v>
      </c>
      <c r="CJ247" s="32" cm="1">
        <f t="array" ref="CJ247">BullDelta($C124,$C125,$C126,$C127,CJ175,$C128,$C130)</f>
        <v>0.3497484480017613</v>
      </c>
      <c r="CK247" s="32" cm="1">
        <f t="array" ref="CK247">BullDelta($C124,$C125,$C126,$C127,CK175,$C128,$C130)</f>
        <v>0.35088480997404314</v>
      </c>
      <c r="CL247" s="32" cm="1">
        <f t="array" ref="CL247">BullDelta($C124,$C125,$C126,$C127,CL175,$C128,$C130)</f>
        <v>0.34978226024829751</v>
      </c>
      <c r="CM247" s="32" cm="1">
        <f t="array" ref="CM247">BullDelta($C124,$C125,$C126,$C127,CM175,$C128,$C130)</f>
        <v>0.35064213064531208</v>
      </c>
      <c r="CN247" s="32" cm="1">
        <f t="array" ref="CN247">BullDelta($C124,$C125,$C126,$C127,CN175,$C128,$C130)</f>
        <v>0.34983281913237008</v>
      </c>
      <c r="CO247" s="32" cm="1">
        <f t="array" ref="CO247">BullDelta($C124,$C125,$C126,$C127,CO175,$C128,$C130)</f>
        <v>0.35043323091745932</v>
      </c>
      <c r="CP247" s="32" cm="1">
        <f t="array" ref="CP247">BullDelta($C124,$C125,$C126,$C127,CP175,$C128,$C130)</f>
        <v>0.34989822251536618</v>
      </c>
      <c r="CQ247" s="32" cm="1">
        <f t="array" ref="CQ247">BullDelta($C124,$C125,$C126,$C127,CQ175,$C128,$C130)</f>
        <v>0.35025501316919688</v>
      </c>
      <c r="CR247" s="32" cm="1">
        <f t="array" ref="CR247">BullDelta($C124,$C125,$C126,$C127,CR175,$C128,$C130)</f>
        <v>0.34997677749338874</v>
      </c>
      <c r="CS247" s="32" cm="1">
        <f t="array" ref="CS247">BullDelta($C124,$C125,$C126,$C127,CS175,$C128,$C130)</f>
        <v>0.35010468654112936</v>
      </c>
      <c r="CT247" s="32" cm="1">
        <f t="array" ref="CT247">BullDelta($C124,$C125,$C126,$C127,CT175,$C128,$C130)</f>
        <v>0.35006697528021585</v>
      </c>
      <c r="CU247" s="32" cm="1">
        <f t="array" ref="CU247">BullDelta($C124,$C125,$C126,$C127,CU175,$C128,$C130)</f>
        <v>0.34997973282108391</v>
      </c>
      <c r="CV247" s="32" cm="1">
        <f t="array" ref="CV247">BullDelta($C124,$C125,$C126,$C127,CV175,$C128,$C130)</f>
        <v>0.35016746942587451</v>
      </c>
      <c r="CW247" s="32" cm="1">
        <f t="array" ref="CW247">BullDelta($C124,$C125,$C126,$C127,CW175,$C128,$C130)</f>
        <v>0.34987787657251168</v>
      </c>
      <c r="CX247" s="32" cm="1">
        <f t="array" ref="CX247">BullDelta($C124,$C125,$C126,$C127,CX175,$C128,$C130)</f>
        <v>0.35027705688296584</v>
      </c>
      <c r="CY247" s="32"/>
      <c r="CZ247" s="32"/>
      <c r="DA247" s="32"/>
      <c r="DB247" s="32"/>
      <c r="DC247" s="32"/>
      <c r="DD247" s="32"/>
      <c r="DE247" s="32"/>
      <c r="DF247" s="32"/>
      <c r="DG247" s="32"/>
    </row>
    <row r="248" spans="3:111" ht="20.350000000000001" customHeight="1" x14ac:dyDescent="0.45">
      <c r="C248" s="47" t="s">
        <v>50</v>
      </c>
      <c r="D248" s="32">
        <f>LOG(ABS(D246-$D250))</f>
        <v>-5.8728077856715745E-3</v>
      </c>
      <c r="E248" s="32">
        <f t="shared" ref="E248:BP248" si="47">LOG(ABS(E246-$D250))</f>
        <v>-0.1483749166123717</v>
      </c>
      <c r="F248" s="32">
        <f t="shared" si="47"/>
        <v>-0.77919306824713075</v>
      </c>
      <c r="G248" s="32">
        <f t="shared" si="47"/>
        <v>-0.92982788584004383</v>
      </c>
      <c r="H248" s="32">
        <f t="shared" si="47"/>
        <v>-0.61051135235004395</v>
      </c>
      <c r="I248" s="32">
        <f t="shared" si="47"/>
        <v>-2.317188768333561</v>
      </c>
      <c r="J248" s="32">
        <f t="shared" si="47"/>
        <v>-0.66350671789433469</v>
      </c>
      <c r="K248" s="32">
        <f t="shared" si="47"/>
        <v>-2.7512540515976784</v>
      </c>
      <c r="L248" s="32">
        <f t="shared" si="47"/>
        <v>-1.1178329353463348</v>
      </c>
      <c r="M248" s="32">
        <f t="shared" si="47"/>
        <v>-1.373809461990209</v>
      </c>
      <c r="N248" s="32">
        <f t="shared" si="47"/>
        <v>-1.8926809286205022</v>
      </c>
      <c r="O248" s="32">
        <f t="shared" si="47"/>
        <v>-1.0004712315942204</v>
      </c>
      <c r="P248" s="32">
        <f t="shared" si="47"/>
        <v>-2.0245109481798931</v>
      </c>
      <c r="Q248" s="32">
        <f t="shared" si="47"/>
        <v>-0.79400500416160613</v>
      </c>
      <c r="R248" s="32">
        <f t="shared" si="47"/>
        <v>-2.0646645271822832</v>
      </c>
      <c r="S248" s="32">
        <f t="shared" si="47"/>
        <v>-0.99658030412924525</v>
      </c>
      <c r="T248" s="32">
        <f t="shared" si="47"/>
        <v>-2.2547697051517597</v>
      </c>
      <c r="U248" s="32">
        <f t="shared" si="47"/>
        <v>-1.4689407379613653</v>
      </c>
      <c r="V248" s="32">
        <f t="shared" si="47"/>
        <v>-1.5600784229774447</v>
      </c>
      <c r="W248" s="32">
        <f t="shared" si="47"/>
        <v>-1.9844283512792162</v>
      </c>
      <c r="X248" s="32">
        <f t="shared" si="47"/>
        <v>-1.2674599848053691</v>
      </c>
      <c r="Y248" s="32">
        <f t="shared" si="47"/>
        <v>-1.4127226539178772</v>
      </c>
      <c r="Z248" s="32">
        <f t="shared" si="47"/>
        <v>-1.0809712450413993</v>
      </c>
      <c r="AA248" s="32">
        <f t="shared" si="47"/>
        <v>-1.257077373929155</v>
      </c>
      <c r="AB248" s="32">
        <f t="shared" si="47"/>
        <v>-0.94617580676395763</v>
      </c>
      <c r="AC248" s="32">
        <f t="shared" si="47"/>
        <v>-1.1976793235288057</v>
      </c>
      <c r="AD248" s="32">
        <f t="shared" si="47"/>
        <v>-0.89705613950767615</v>
      </c>
      <c r="AE248" s="32">
        <f t="shared" si="47"/>
        <v>-1.1858652440977659</v>
      </c>
      <c r="AF248" s="32">
        <f t="shared" si="47"/>
        <v>-1.0324869513393813</v>
      </c>
      <c r="AG248" s="32">
        <f t="shared" si="47"/>
        <v>-1.2064346380416764</v>
      </c>
      <c r="AH248" s="32">
        <f t="shared" si="47"/>
        <v>-1.1750708675850461</v>
      </c>
      <c r="AI248" s="32">
        <f t="shared" si="47"/>
        <v>-1.2552049510319843</v>
      </c>
      <c r="AJ248" s="32">
        <f t="shared" si="47"/>
        <v>-1.3250781417211752</v>
      </c>
      <c r="AK248" s="32">
        <f t="shared" si="47"/>
        <v>-1.3348748104145758</v>
      </c>
      <c r="AL248" s="32">
        <f t="shared" si="47"/>
        <v>-1.4809991278911163</v>
      </c>
      <c r="AM248" s="32">
        <f t="shared" si="47"/>
        <v>-1.4572478373419326</v>
      </c>
      <c r="AN248" s="32">
        <f t="shared" si="47"/>
        <v>-1.63714252985276</v>
      </c>
      <c r="AO248" s="32">
        <f t="shared" si="47"/>
        <v>-1.6575829971018796</v>
      </c>
      <c r="AP248" s="32">
        <f t="shared" si="47"/>
        <v>-1.7795774315371622</v>
      </c>
      <c r="AQ248" s="32">
        <f t="shared" si="47"/>
        <v>-2.0991401878413862</v>
      </c>
      <c r="AR248" s="32">
        <f t="shared" si="47"/>
        <v>-1.883444865328735</v>
      </c>
      <c r="AS248" s="32">
        <f t="shared" si="47"/>
        <v>-2.1595914473189937</v>
      </c>
      <c r="AT248" s="32">
        <f t="shared" si="47"/>
        <v>-1.9222704717658812</v>
      </c>
      <c r="AU248" s="32">
        <f t="shared" si="47"/>
        <v>-2.0133038973018129</v>
      </c>
      <c r="AV248" s="32">
        <f t="shared" si="47"/>
        <v>-1.8911358409419423</v>
      </c>
      <c r="AW248" s="32">
        <f t="shared" si="47"/>
        <v>-1.7230157864731459</v>
      </c>
      <c r="AX248" s="32">
        <f t="shared" si="47"/>
        <v>-1.8122005978239979</v>
      </c>
      <c r="AY248" s="32">
        <f t="shared" si="47"/>
        <v>-1.5877213858120689</v>
      </c>
      <c r="AZ248" s="32">
        <f t="shared" si="47"/>
        <v>-1.7129602471003234</v>
      </c>
      <c r="BA248" s="32">
        <f t="shared" si="47"/>
        <v>-1.5120153240582417</v>
      </c>
      <c r="BB248" s="32">
        <f t="shared" si="47"/>
        <v>-1.6110648527558327</v>
      </c>
      <c r="BC248" s="32">
        <f t="shared" si="47"/>
        <v>-1.4691447783267049</v>
      </c>
      <c r="BD248" s="32">
        <f t="shared" si="47"/>
        <v>-1.5145525295838851</v>
      </c>
      <c r="BE248" s="32">
        <f t="shared" si="47"/>
        <v>-1.4480487874689658</v>
      </c>
      <c r="BF248" s="32">
        <f t="shared" si="47"/>
        <v>-1.4261293827700672</v>
      </c>
      <c r="BG248" s="32">
        <f t="shared" si="47"/>
        <v>-1.4433913134535166</v>
      </c>
      <c r="BH248" s="32">
        <f t="shared" si="47"/>
        <v>-1.3461341438504053</v>
      </c>
      <c r="BI248" s="32">
        <f t="shared" si="47"/>
        <v>-1.4525603347240457</v>
      </c>
      <c r="BJ248" s="32">
        <f t="shared" si="47"/>
        <v>-1.273997522445373</v>
      </c>
      <c r="BK248" s="32">
        <f t="shared" si="47"/>
        <v>-1.4745777437530125</v>
      </c>
      <c r="BL248" s="32">
        <f t="shared" si="47"/>
        <v>-1.2092323482418006</v>
      </c>
      <c r="BM248" s="32">
        <f t="shared" si="47"/>
        <v>-1.5097480603087052</v>
      </c>
      <c r="BN248" s="32">
        <f t="shared" si="47"/>
        <v>-1.2993676831203627</v>
      </c>
      <c r="BO248" s="32">
        <f t="shared" si="47"/>
        <v>-1.5597526029187012</v>
      </c>
      <c r="BP248" s="32">
        <f t="shared" si="47"/>
        <v>-1.3958483815350773</v>
      </c>
      <c r="BQ248" s="32">
        <f t="shared" ref="BQ248:CX248" si="48">LOG(ABS(BQ246-$D250))</f>
        <v>-1.6282632490412798</v>
      </c>
      <c r="BR248" s="32">
        <f t="shared" si="48"/>
        <v>-1.5000871620436389</v>
      </c>
      <c r="BS248" s="32">
        <f t="shared" si="48"/>
        <v>-1.7226355917552807</v>
      </c>
      <c r="BT248" s="32">
        <f t="shared" si="48"/>
        <v>-1.6139849038625167</v>
      </c>
      <c r="BU248" s="32">
        <f t="shared" si="48"/>
        <v>-1.8588455338959999</v>
      </c>
      <c r="BV248" s="32">
        <f t="shared" si="48"/>
        <v>-1.7401947012476733</v>
      </c>
      <c r="BW248" s="32">
        <f t="shared" si="48"/>
        <v>-2.0806944660927171</v>
      </c>
      <c r="BX248" s="32">
        <f t="shared" si="48"/>
        <v>-1.8825959938342918</v>
      </c>
      <c r="BY248" s="32">
        <f t="shared" si="48"/>
        <v>-2.6221153478997579</v>
      </c>
      <c r="BZ248" s="32">
        <f t="shared" si="48"/>
        <v>-2.0472234084756593</v>
      </c>
      <c r="CA248" s="32">
        <f t="shared" si="48"/>
        <v>-2.4132899206527041</v>
      </c>
      <c r="CB248" s="32">
        <f t="shared" si="48"/>
        <v>-2.2443198502644894</v>
      </c>
      <c r="CC248" s="32">
        <f t="shared" si="48"/>
        <v>-1.9831137056122194</v>
      </c>
      <c r="CD248" s="32">
        <f t="shared" si="48"/>
        <v>-2.4937732877297849</v>
      </c>
      <c r="CE248" s="32">
        <f t="shared" si="48"/>
        <v>-1.76497394047723</v>
      </c>
      <c r="CF248" s="32">
        <f t="shared" si="48"/>
        <v>-2.8447328602382456</v>
      </c>
      <c r="CG248" s="32">
        <f t="shared" si="48"/>
        <v>-1.6165870184208031</v>
      </c>
      <c r="CH248" s="32">
        <f t="shared" si="48"/>
        <v>-3.5248990766821686</v>
      </c>
      <c r="CI248" s="32">
        <f t="shared" si="48"/>
        <v>-1.5618938203459072</v>
      </c>
      <c r="CJ248" s="32">
        <f t="shared" si="48"/>
        <v>-3.6133091974328533</v>
      </c>
      <c r="CK248" s="32">
        <f t="shared" si="48"/>
        <v>-1.6599964135136165</v>
      </c>
      <c r="CL248" s="32">
        <f t="shared" si="48"/>
        <v>-3.6031900966999189</v>
      </c>
      <c r="CM248" s="32">
        <f t="shared" si="48"/>
        <v>-1.768208077004368</v>
      </c>
      <c r="CN248" s="32">
        <f t="shared" si="48"/>
        <v>-3.6310247552203121</v>
      </c>
      <c r="CO248" s="32">
        <f t="shared" si="48"/>
        <v>-1.8896663202124067</v>
      </c>
      <c r="CP248" s="32">
        <f t="shared" si="48"/>
        <v>-2.9344274196744866</v>
      </c>
      <c r="CQ248" s="32">
        <f t="shared" si="48"/>
        <v>-2.0293269407975365</v>
      </c>
      <c r="CR248" s="32">
        <f t="shared" si="48"/>
        <v>-2.6022555645577055</v>
      </c>
      <c r="CS248" s="32">
        <f t="shared" si="48"/>
        <v>-2.1958161027663574</v>
      </c>
      <c r="CT248" s="32">
        <f t="shared" si="48"/>
        <v>-2.3761308966401584</v>
      </c>
      <c r="CU248" s="32">
        <f t="shared" si="48"/>
        <v>-2.4065807047652568</v>
      </c>
      <c r="CV248" s="32">
        <f t="shared" si="48"/>
        <v>-2.2039817265961452</v>
      </c>
      <c r="CW248" s="32">
        <f t="shared" si="48"/>
        <v>-2.7077481747060701</v>
      </c>
      <c r="CX248" s="32">
        <f t="shared" si="48"/>
        <v>-2.0651303313404101</v>
      </c>
      <c r="CY248" s="32"/>
      <c r="CZ248" s="32"/>
      <c r="DA248" s="32"/>
      <c r="DB248" s="32"/>
      <c r="DC248" s="32"/>
      <c r="DD248" s="32"/>
      <c r="DE248" s="32"/>
      <c r="DF248" s="32"/>
      <c r="DG248" s="32"/>
    </row>
    <row r="249" spans="3:111" ht="20.350000000000001" customHeight="1" x14ac:dyDescent="0.45">
      <c r="C249" s="47" t="s">
        <v>51</v>
      </c>
      <c r="D249" s="32">
        <f>LOG(ABS(D247-$D251))</f>
        <v>-2.327082735985043</v>
      </c>
      <c r="E249" s="32">
        <f t="shared" ref="E249:BP249" si="49">LOG(ABS(E247-$D251))</f>
        <v>-1.6524463245069105</v>
      </c>
      <c r="F249" s="32">
        <f t="shared" si="49"/>
        <v>-1.933940325593414</v>
      </c>
      <c r="G249" s="32">
        <f t="shared" si="49"/>
        <v>-2.4301587100328597</v>
      </c>
      <c r="H249" s="32">
        <f t="shared" si="49"/>
        <v>-1.7560294596184922</v>
      </c>
      <c r="I249" s="32">
        <f t="shared" si="49"/>
        <v>-2.6194208190291453</v>
      </c>
      <c r="J249" s="32">
        <f t="shared" si="49"/>
        <v>-1.9831682174908307</v>
      </c>
      <c r="K249" s="32">
        <f t="shared" si="49"/>
        <v>-2.3997431299778946</v>
      </c>
      <c r="L249" s="32">
        <f t="shared" si="49"/>
        <v>-2.5078358289861047</v>
      </c>
      <c r="M249" s="32">
        <f t="shared" si="49"/>
        <v>-2.2203873089392103</v>
      </c>
      <c r="N249" s="32">
        <f t="shared" si="49"/>
        <v>-3.5711934567753087</v>
      </c>
      <c r="O249" s="32">
        <f t="shared" si="49"/>
        <v>-2.0988190319768978</v>
      </c>
      <c r="P249" s="32">
        <f t="shared" si="49"/>
        <v>-3.2561744904889114</v>
      </c>
      <c r="Q249" s="32">
        <f t="shared" si="49"/>
        <v>-2.0133013118512708</v>
      </c>
      <c r="R249" s="32">
        <f t="shared" si="49"/>
        <v>-3.3880378454294204</v>
      </c>
      <c r="S249" s="32">
        <f t="shared" si="49"/>
        <v>-2.1645565610185256</v>
      </c>
      <c r="T249" s="32">
        <f t="shared" si="49"/>
        <v>-3.6757681259859978</v>
      </c>
      <c r="U249" s="32">
        <f t="shared" si="49"/>
        <v>-2.3842868223705698</v>
      </c>
      <c r="V249" s="32">
        <f t="shared" si="49"/>
        <v>-2.9752533011978337</v>
      </c>
      <c r="W249" s="32">
        <f t="shared" si="49"/>
        <v>-2.6068096885692658</v>
      </c>
      <c r="X249" s="32">
        <f t="shared" si="49"/>
        <v>-2.6981046759612282</v>
      </c>
      <c r="Y249" s="32">
        <f t="shared" si="49"/>
        <v>-2.8185394689607999</v>
      </c>
      <c r="Z249" s="32">
        <f t="shared" si="49"/>
        <v>-2.5261795961849782</v>
      </c>
      <c r="AA249" s="32">
        <f t="shared" si="49"/>
        <v>-2.9849466524093211</v>
      </c>
      <c r="AB249" s="32">
        <f t="shared" si="49"/>
        <v>-2.4044188880214072</v>
      </c>
      <c r="AC249" s="32">
        <f t="shared" si="49"/>
        <v>-3.0592579378734164</v>
      </c>
      <c r="AD249" s="32">
        <f t="shared" si="49"/>
        <v>-2.3739053190948849</v>
      </c>
      <c r="AE249" s="32">
        <f t="shared" si="49"/>
        <v>-3.0316154189541127</v>
      </c>
      <c r="AF249" s="32">
        <f t="shared" si="49"/>
        <v>-2.5553987365763184</v>
      </c>
      <c r="AG249" s="32">
        <f t="shared" si="49"/>
        <v>-2.9435606876415341</v>
      </c>
      <c r="AH249" s="32">
        <f t="shared" si="49"/>
        <v>-2.7593427491569167</v>
      </c>
      <c r="AI249" s="32">
        <f t="shared" si="49"/>
        <v>-2.8380585881026232</v>
      </c>
      <c r="AJ249" s="32">
        <f t="shared" si="49"/>
        <v>-2.997959587974266</v>
      </c>
      <c r="AK249" s="32">
        <f t="shared" si="49"/>
        <v>-2.7361737802534392</v>
      </c>
      <c r="AL249" s="32">
        <f t="shared" si="49"/>
        <v>-3.2953798489450197</v>
      </c>
      <c r="AM249" s="32">
        <f t="shared" si="49"/>
        <v>-2.6446051657237981</v>
      </c>
      <c r="AN249" s="32">
        <f t="shared" si="49"/>
        <v>-3.7141150668651717</v>
      </c>
      <c r="AO249" s="32">
        <f t="shared" si="49"/>
        <v>-2.5642192909877268</v>
      </c>
      <c r="AP249" s="32">
        <f t="shared" si="49"/>
        <v>-4.6169067012939333</v>
      </c>
      <c r="AQ249" s="32">
        <f t="shared" si="49"/>
        <v>-2.4940069574122172</v>
      </c>
      <c r="AR249" s="32">
        <f t="shared" si="49"/>
        <v>-4.501274076363357</v>
      </c>
      <c r="AS249" s="32">
        <f t="shared" si="49"/>
        <v>-2.4325416086134104</v>
      </c>
      <c r="AT249" s="32">
        <f t="shared" si="49"/>
        <v>-5.7290290837886904</v>
      </c>
      <c r="AU249" s="32">
        <f t="shared" si="49"/>
        <v>-2.5410825330552682</v>
      </c>
      <c r="AV249" s="32">
        <f t="shared" si="49"/>
        <v>-3.9772733680187167</v>
      </c>
      <c r="AW249" s="32">
        <f t="shared" si="49"/>
        <v>-2.6631741189494038</v>
      </c>
      <c r="AX249" s="32">
        <f t="shared" si="49"/>
        <v>-3.5783748329018925</v>
      </c>
      <c r="AY249" s="32">
        <f t="shared" si="49"/>
        <v>-2.7925371286991858</v>
      </c>
      <c r="AZ249" s="32">
        <f t="shared" si="49"/>
        <v>-3.3317074106248095</v>
      </c>
      <c r="BA249" s="32">
        <f t="shared" si="49"/>
        <v>-2.9299504943741743</v>
      </c>
      <c r="BB249" s="32">
        <f t="shared" si="49"/>
        <v>-3.1539436668124572</v>
      </c>
      <c r="BC249" s="32">
        <f t="shared" si="49"/>
        <v>-3.0754545492238661</v>
      </c>
      <c r="BD249" s="32">
        <f t="shared" si="49"/>
        <v>-3.0162173169940432</v>
      </c>
      <c r="BE249" s="32">
        <f t="shared" si="49"/>
        <v>-3.2270980458687908</v>
      </c>
      <c r="BF249" s="32">
        <f t="shared" si="49"/>
        <v>-2.9047675901476997</v>
      </c>
      <c r="BG249" s="32">
        <f t="shared" si="49"/>
        <v>-3.3782943707103676</v>
      </c>
      <c r="BH249" s="32">
        <f t="shared" si="49"/>
        <v>-2.8118857893669009</v>
      </c>
      <c r="BI249" s="32">
        <f t="shared" si="49"/>
        <v>-3.5135772818837321</v>
      </c>
      <c r="BJ249" s="32">
        <f t="shared" si="49"/>
        <v>-2.7327997955566263</v>
      </c>
      <c r="BK249" s="32">
        <f t="shared" si="49"/>
        <v>-3.6066832797244706</v>
      </c>
      <c r="BL249" s="32">
        <f t="shared" si="49"/>
        <v>-2.6647335835176262</v>
      </c>
      <c r="BM249" s="32">
        <f t="shared" si="49"/>
        <v>-3.6323471233289153</v>
      </c>
      <c r="BN249" s="32">
        <f t="shared" si="49"/>
        <v>-2.7661770559328858</v>
      </c>
      <c r="BO249" s="32">
        <f t="shared" si="49"/>
        <v>-3.5897221711691123</v>
      </c>
      <c r="BP249" s="32">
        <f t="shared" si="49"/>
        <v>-2.8742190087351305</v>
      </c>
      <c r="BQ249" s="32">
        <f t="shared" ref="BQ249:CX249" si="50">LOG(ABS(BQ247-$D251))</f>
        <v>-3.5033660144254957</v>
      </c>
      <c r="BR249" s="32">
        <f t="shared" si="50"/>
        <v>-2.9900709498835991</v>
      </c>
      <c r="BS249" s="32">
        <f t="shared" si="50"/>
        <v>-3.4000637252495074</v>
      </c>
      <c r="BT249" s="32">
        <f t="shared" si="50"/>
        <v>-3.1151264198271309</v>
      </c>
      <c r="BU249" s="32">
        <f t="shared" si="50"/>
        <v>-3.2959859868982786</v>
      </c>
      <c r="BV249" s="32">
        <f t="shared" si="50"/>
        <v>-3.2508611873750697</v>
      </c>
      <c r="BW249" s="32">
        <f t="shared" si="50"/>
        <v>-3.1981797377636756</v>
      </c>
      <c r="BX249" s="32">
        <f t="shared" si="50"/>
        <v>-3.3984629353114935</v>
      </c>
      <c r="BY249" s="32">
        <f t="shared" si="50"/>
        <v>-3.1088557498291145</v>
      </c>
      <c r="BZ249" s="32">
        <f t="shared" si="50"/>
        <v>-3.5577206991607886</v>
      </c>
      <c r="CA249" s="32">
        <f t="shared" si="50"/>
        <v>-3.0281322781373743</v>
      </c>
      <c r="CB249" s="32">
        <f t="shared" si="50"/>
        <v>-3.7240436439604996</v>
      </c>
      <c r="CC249" s="32">
        <f t="shared" si="50"/>
        <v>-2.955347907575717</v>
      </c>
      <c r="CD249" s="32">
        <f t="shared" si="50"/>
        <v>-3.8817994430788878</v>
      </c>
      <c r="CE249" s="32">
        <f t="shared" si="50"/>
        <v>-2.8896227863352184</v>
      </c>
      <c r="CF249" s="32">
        <f t="shared" si="50"/>
        <v>-3.9961789823218448</v>
      </c>
      <c r="CG249" s="32">
        <f t="shared" si="50"/>
        <v>-2.8300814285977154</v>
      </c>
      <c r="CH249" s="32">
        <f t="shared" si="50"/>
        <v>-4.0245243940237874</v>
      </c>
      <c r="CI249" s="32">
        <f t="shared" si="50"/>
        <v>-2.8165311204546013</v>
      </c>
      <c r="CJ249" s="32">
        <f t="shared" si="50"/>
        <v>-3.9608448242109171</v>
      </c>
      <c r="CK249" s="32">
        <f t="shared" si="50"/>
        <v>-2.9045528226282364</v>
      </c>
      <c r="CL249" s="32">
        <f t="shared" si="50"/>
        <v>-3.8439145319172559</v>
      </c>
      <c r="CM249" s="32">
        <f t="shared" si="50"/>
        <v>-2.9986482471847231</v>
      </c>
      <c r="CN249" s="32">
        <f t="shared" si="50"/>
        <v>-3.7126330913575201</v>
      </c>
      <c r="CO249" s="32">
        <f t="shared" si="50"/>
        <v>-3.1000604674416454</v>
      </c>
      <c r="CP249" s="32">
        <f t="shared" si="50"/>
        <v>-3.5863495131169016</v>
      </c>
      <c r="CQ249" s="32">
        <f t="shared" si="50"/>
        <v>-3.2104193592510311</v>
      </c>
      <c r="CR249" s="32">
        <f t="shared" si="50"/>
        <v>-3.4713863542363299</v>
      </c>
      <c r="CS249" s="32">
        <f t="shared" si="50"/>
        <v>-3.3319186895911193</v>
      </c>
      <c r="CT249" s="32">
        <f t="shared" si="50"/>
        <v>-3.3685947816868054</v>
      </c>
      <c r="CU249" s="32">
        <f t="shared" si="50"/>
        <v>-3.4676029457670996</v>
      </c>
      <c r="CV249" s="32">
        <f t="shared" si="50"/>
        <v>-3.2769910391329642</v>
      </c>
      <c r="CW249" s="32">
        <f t="shared" si="50"/>
        <v>-3.6218505683522468</v>
      </c>
      <c r="CX249" s="32">
        <f t="shared" si="50"/>
        <v>-3.1951496347437582</v>
      </c>
      <c r="CY249" s="32"/>
      <c r="CZ249" s="32"/>
      <c r="DA249" s="32"/>
      <c r="DB249" s="32"/>
      <c r="DC249" s="32"/>
      <c r="DD249" s="32"/>
      <c r="DE249" s="32"/>
      <c r="DF249" s="32"/>
      <c r="DG249" s="32"/>
    </row>
    <row r="250" spans="3:111" ht="20.350000000000001" customHeight="1" x14ac:dyDescent="0.45">
      <c r="C250" s="47" t="s">
        <v>64</v>
      </c>
      <c r="D250" s="32">
        <f>C124 * (_xlfn.NORM.S.DIST(H250, TRUE) - _xlfn.NORM.S.DIST(H251, TRUE))
- EXP(-C125 * C127) * (
    C128 * _xlfn.NORM.S.DIST(H250 - C126 * SQRT(C127), TRUE)
  - C130 * _xlfn.NORM.S.DIST(H251 - C126 * SQRT(C127), TRUE)
)</f>
        <v>7.2031061556247558</v>
      </c>
      <c r="E250" s="32">
        <f>D250</f>
        <v>7.2031061556247558</v>
      </c>
      <c r="F250" s="32">
        <f>D251</f>
        <v>0.34963901327049202</v>
      </c>
      <c r="G250" s="32" t="s">
        <v>75</v>
      </c>
      <c r="H250" s="32">
        <f>CU210</f>
        <v>0.35000000000000003</v>
      </c>
      <c r="I250" s="32"/>
      <c r="J250" s="32"/>
      <c r="K250" s="32"/>
      <c r="L250" s="32"/>
      <c r="M250" s="32"/>
      <c r="N250" s="32"/>
      <c r="O250" s="32"/>
      <c r="P250" s="32"/>
      <c r="Q250" s="32"/>
      <c r="R250" s="32"/>
      <c r="S250" s="32"/>
      <c r="T250" s="32"/>
      <c r="U250" s="32"/>
      <c r="V250" s="32"/>
      <c r="W250" s="32"/>
      <c r="X250" s="32"/>
      <c r="Y250" s="32"/>
      <c r="Z250" s="32"/>
      <c r="AA250" s="32"/>
      <c r="AB250" s="32"/>
      <c r="AC250" s="32"/>
      <c r="AD250" s="32"/>
      <c r="AE250" s="32"/>
      <c r="AF250" s="32"/>
      <c r="AG250" s="32"/>
      <c r="AH250" s="32"/>
      <c r="AI250" s="32"/>
      <c r="AJ250" s="32"/>
      <c r="AK250" s="32"/>
      <c r="AL250" s="32"/>
      <c r="AM250" s="32"/>
      <c r="AN250" s="32"/>
      <c r="AO250" s="32"/>
      <c r="AP250" s="32"/>
      <c r="AQ250" s="32"/>
      <c r="AR250" s="32"/>
      <c r="AS250" s="32"/>
      <c r="AT250" s="32"/>
      <c r="AU250" s="32"/>
      <c r="AV250" s="32"/>
      <c r="AW250" s="32"/>
      <c r="AX250" s="32"/>
      <c r="AY250" s="32"/>
      <c r="AZ250" s="32"/>
      <c r="BA250" s="32"/>
      <c r="BB250" s="32"/>
      <c r="BC250" s="32"/>
      <c r="BD250" s="32"/>
      <c r="BE250" s="32"/>
      <c r="BF250" s="32"/>
      <c r="BG250" s="32"/>
      <c r="BH250" s="32"/>
      <c r="BI250" s="32"/>
      <c r="BJ250" s="32"/>
      <c r="BK250" s="32"/>
      <c r="BL250" s="32"/>
      <c r="BM250" s="32"/>
      <c r="BN250" s="32"/>
      <c r="BO250" s="32"/>
      <c r="BP250" s="32"/>
      <c r="BQ250" s="32"/>
      <c r="BR250" s="32"/>
      <c r="BS250" s="32"/>
      <c r="BT250" s="32"/>
      <c r="BU250" s="32"/>
      <c r="BV250" s="32"/>
      <c r="BW250" s="32"/>
      <c r="BX250" s="32"/>
      <c r="BY250" s="32"/>
      <c r="BZ250" s="32"/>
      <c r="CA250" s="32"/>
      <c r="CB250" s="32"/>
      <c r="CC250" s="32"/>
      <c r="CD250" s="32"/>
      <c r="CE250" s="32"/>
      <c r="CF250" s="32"/>
      <c r="CG250" s="32"/>
      <c r="CH250" s="32"/>
      <c r="CI250" s="32"/>
      <c r="CJ250" s="32"/>
      <c r="CK250" s="32"/>
      <c r="CL250" s="32"/>
      <c r="CM250" s="32"/>
      <c r="CN250" s="32"/>
      <c r="CO250" s="32"/>
      <c r="CP250" s="32"/>
      <c r="CQ250" s="32"/>
      <c r="CR250" s="32"/>
      <c r="CS250" s="32"/>
      <c r="CT250" s="32"/>
      <c r="CU250" s="32"/>
      <c r="CV250" s="32"/>
      <c r="CW250" s="32"/>
      <c r="CX250" s="32"/>
      <c r="CY250" s="32"/>
      <c r="CZ250" s="32"/>
      <c r="DA250" s="32"/>
      <c r="DB250" s="32"/>
      <c r="DC250" s="32"/>
      <c r="DD250" s="32"/>
      <c r="DE250" s="32"/>
      <c r="DF250" s="32"/>
      <c r="DG250" s="32"/>
    </row>
    <row r="251" spans="3:111" ht="20.350000000000001" customHeight="1" x14ac:dyDescent="0.45">
      <c r="C251" s="47" t="s">
        <v>59</v>
      </c>
      <c r="D251" s="32">
        <f>_xlfn.NORM.S.DIST(H250, TRUE) - _xlfn.NORM.S.DIST(H251, TRUE)</f>
        <v>0.34963901327049202</v>
      </c>
      <c r="E251" s="32">
        <f>D250</f>
        <v>7.2031061556247558</v>
      </c>
      <c r="F251" s="32">
        <f>D251</f>
        <v>0.34963901327049202</v>
      </c>
      <c r="G251" s="32" t="s">
        <v>76</v>
      </c>
      <c r="H251" s="32">
        <f>(LN(C124/C130) + (C125 + 0.5*C126^2)*C127) / (C126*SQRT(C127))</f>
        <v>-0.56160778396977284</v>
      </c>
      <c r="I251" s="32"/>
      <c r="J251" s="32"/>
      <c r="K251" s="32"/>
      <c r="L251" s="32"/>
      <c r="M251" s="32"/>
      <c r="N251" s="32"/>
      <c r="O251" s="32"/>
      <c r="P251" s="32"/>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c r="AP251" s="32"/>
      <c r="AQ251" s="32"/>
      <c r="AR251" s="32"/>
      <c r="AS251" s="32"/>
      <c r="AT251" s="32"/>
      <c r="AU251" s="32"/>
      <c r="AV251" s="32"/>
      <c r="AW251" s="32"/>
      <c r="AX251" s="32"/>
      <c r="AY251" s="32"/>
      <c r="AZ251" s="32"/>
      <c r="BA251" s="32"/>
      <c r="BB251" s="32"/>
      <c r="BC251" s="32"/>
      <c r="BD251" s="32"/>
      <c r="BE251" s="32"/>
      <c r="BF251" s="32"/>
      <c r="BG251" s="32"/>
      <c r="BH251" s="32"/>
      <c r="BI251" s="32"/>
      <c r="BJ251" s="32"/>
      <c r="BK251" s="32"/>
      <c r="BL251" s="32"/>
      <c r="BM251" s="32"/>
      <c r="BN251" s="32"/>
      <c r="BO251" s="32"/>
      <c r="BP251" s="32"/>
      <c r="BQ251" s="32"/>
      <c r="BR251" s="32"/>
      <c r="BS251" s="32"/>
      <c r="BT251" s="32"/>
      <c r="BU251" s="32"/>
      <c r="BV251" s="32"/>
      <c r="BW251" s="32"/>
      <c r="BX251" s="32"/>
      <c r="BY251" s="32"/>
      <c r="BZ251" s="32"/>
      <c r="CA251" s="32"/>
      <c r="CB251" s="32"/>
      <c r="CC251" s="32"/>
      <c r="CD251" s="32"/>
      <c r="CE251" s="32"/>
      <c r="CF251" s="32"/>
      <c r="CG251" s="32"/>
      <c r="CH251" s="32"/>
      <c r="CI251" s="32"/>
      <c r="CJ251" s="32"/>
      <c r="CK251" s="32"/>
      <c r="CL251" s="32"/>
      <c r="CM251" s="32"/>
      <c r="CN251" s="32"/>
      <c r="CO251" s="32"/>
      <c r="CP251" s="32"/>
      <c r="CQ251" s="32"/>
      <c r="CR251" s="32"/>
      <c r="CS251" s="32"/>
      <c r="CT251" s="32"/>
      <c r="CU251" s="32"/>
      <c r="CV251" s="32"/>
      <c r="CW251" s="32"/>
      <c r="CX251" s="32"/>
      <c r="CY251" s="32"/>
      <c r="CZ251" s="32"/>
      <c r="DA251" s="32"/>
      <c r="DB251" s="32"/>
      <c r="DC251" s="32"/>
      <c r="DD251" s="32"/>
      <c r="DE251" s="32"/>
      <c r="DF251" s="32"/>
      <c r="DG251" s="32"/>
    </row>
    <row r="252" spans="3:111" ht="20.350000000000001" customHeight="1" x14ac:dyDescent="0.45">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c r="AP252" s="32"/>
      <c r="AQ252" s="32"/>
      <c r="AR252" s="32"/>
      <c r="AS252" s="32"/>
      <c r="AT252" s="32"/>
      <c r="AU252" s="32"/>
      <c r="AV252" s="32"/>
      <c r="AW252" s="32"/>
      <c r="AX252" s="32"/>
      <c r="AY252" s="32"/>
      <c r="AZ252" s="32"/>
      <c r="BA252" s="32"/>
      <c r="BB252" s="32"/>
      <c r="BC252" s="32"/>
      <c r="BD252" s="32"/>
      <c r="BE252" s="32"/>
      <c r="BF252" s="32"/>
      <c r="BG252" s="32"/>
      <c r="BH252" s="32"/>
      <c r="BI252" s="32"/>
      <c r="BJ252" s="32"/>
      <c r="BK252" s="32"/>
      <c r="BL252" s="32"/>
      <c r="BM252" s="32"/>
      <c r="BN252" s="32"/>
      <c r="BO252" s="32"/>
      <c r="BP252" s="32"/>
      <c r="BQ252" s="32"/>
      <c r="BR252" s="32"/>
      <c r="BS252" s="32"/>
      <c r="BT252" s="32"/>
      <c r="BU252" s="32"/>
      <c r="BV252" s="32"/>
      <c r="BW252" s="32"/>
      <c r="BX252" s="32"/>
      <c r="BY252" s="32"/>
      <c r="BZ252" s="32"/>
      <c r="CA252" s="32"/>
      <c r="CB252" s="32"/>
      <c r="CC252" s="32"/>
      <c r="CD252" s="32"/>
      <c r="CE252" s="32"/>
      <c r="CF252" s="32"/>
      <c r="CG252" s="32"/>
      <c r="CH252" s="32"/>
      <c r="CI252" s="32"/>
      <c r="CJ252" s="32"/>
      <c r="CK252" s="32"/>
      <c r="CL252" s="32"/>
      <c r="CM252" s="32"/>
      <c r="CN252" s="32"/>
      <c r="CO252" s="32"/>
      <c r="CP252" s="32"/>
      <c r="CQ252" s="32"/>
      <c r="CR252" s="32"/>
      <c r="CS252" s="32"/>
      <c r="CT252" s="32"/>
      <c r="CU252" s="32"/>
      <c r="CV252" s="32"/>
      <c r="CW252" s="32"/>
      <c r="CX252" s="32"/>
      <c r="CY252" s="32"/>
      <c r="CZ252" s="32"/>
      <c r="DA252" s="32"/>
      <c r="DB252" s="32"/>
      <c r="DC252" s="32"/>
      <c r="DD252" s="32"/>
      <c r="DE252" s="32"/>
      <c r="DF252" s="32"/>
      <c r="DG252" s="32"/>
    </row>
    <row r="253" spans="3:111" ht="20.350000000000001" customHeight="1" x14ac:dyDescent="0.45">
      <c r="C253" s="47" t="s">
        <v>74</v>
      </c>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c r="AP253" s="32"/>
      <c r="AQ253" s="32"/>
      <c r="AR253" s="32"/>
      <c r="AS253" s="32"/>
      <c r="AT253" s="32"/>
      <c r="AU253" s="32"/>
      <c r="AV253" s="32"/>
      <c r="AW253" s="32"/>
      <c r="AX253" s="32"/>
      <c r="AY253" s="32"/>
      <c r="AZ253" s="32"/>
      <c r="BA253" s="32"/>
      <c r="BB253" s="32"/>
      <c r="BC253" s="32"/>
      <c r="BD253" s="32"/>
      <c r="BE253" s="32"/>
      <c r="BF253" s="32"/>
      <c r="BG253" s="32"/>
      <c r="BH253" s="32"/>
      <c r="BI253" s="32"/>
      <c r="BJ253" s="32"/>
      <c r="BK253" s="32"/>
      <c r="BL253" s="32"/>
      <c r="BM253" s="32"/>
      <c r="BN253" s="32"/>
      <c r="BO253" s="32"/>
      <c r="BP253" s="32"/>
      <c r="BQ253" s="32"/>
      <c r="BR253" s="32"/>
      <c r="BS253" s="32"/>
      <c r="BT253" s="32"/>
      <c r="BU253" s="32"/>
      <c r="BV253" s="32"/>
      <c r="BW253" s="32"/>
      <c r="BX253" s="32"/>
      <c r="BY253" s="32"/>
      <c r="BZ253" s="32"/>
      <c r="CA253" s="32"/>
      <c r="CB253" s="32"/>
      <c r="CC253" s="32"/>
      <c r="CD253" s="32"/>
      <c r="CE253" s="32"/>
      <c r="CF253" s="32"/>
      <c r="CG253" s="32"/>
      <c r="CH253" s="32"/>
      <c r="CI253" s="32"/>
      <c r="CJ253" s="32"/>
      <c r="CK253" s="32"/>
      <c r="CL253" s="32"/>
      <c r="CM253" s="32"/>
      <c r="CN253" s="32"/>
      <c r="CO253" s="32"/>
      <c r="CP253" s="32"/>
      <c r="CQ253" s="32"/>
      <c r="CR253" s="32"/>
      <c r="CS253" s="32"/>
      <c r="CT253" s="32"/>
      <c r="CU253" s="32"/>
      <c r="CV253" s="32"/>
      <c r="CW253" s="32"/>
      <c r="CX253" s="32"/>
      <c r="CY253" s="32"/>
      <c r="CZ253" s="32"/>
      <c r="DA253" s="32"/>
      <c r="DB253" s="32"/>
      <c r="DC253" s="32"/>
      <c r="DD253" s="32"/>
      <c r="DE253" s="32"/>
      <c r="DF253" s="32"/>
      <c r="DG253" s="32"/>
    </row>
    <row r="254" spans="3:111" ht="20.350000000000001" customHeight="1" x14ac:dyDescent="0.45">
      <c r="C254" s="47" t="s">
        <v>38</v>
      </c>
      <c r="D254" s="32" cm="1">
        <f t="array" ref="D254">BearPrice($C124,$C125,$C126,$C127,D175,$C128,$C130)</f>
        <v>12.819750148721001</v>
      </c>
      <c r="E254" s="32" cm="1">
        <f t="array" ref="E254">BearPrice($C124,$C125,$C126,$C127,E175,$C128,$C130)</f>
        <v>11.118724067520754</v>
      </c>
      <c r="F254" s="32" cm="1">
        <f t="array" ref="F254">BearPrice($C124,$C125,$C126,$C127,F175,$C128,$C130)</f>
        <v>11.993646682171217</v>
      </c>
      <c r="G254" s="32" cm="1">
        <f t="array" ref="G254">BearPrice($C124,$C125,$C126,$C127,G175,$C128,$C130)</f>
        <v>11.708671269717438</v>
      </c>
      <c r="H254" s="32" cm="1">
        <f t="array" ref="H254">BearPrice($C124,$C125,$C126,$C127,H175,$C128,$C130)</f>
        <v>11.58024227987652</v>
      </c>
      <c r="I254" s="32" cm="1">
        <f t="array" ref="I254">BearPrice($C124,$C125,$C126,$C127,I175,$C128,$C130)</f>
        <v>11.829681175232601</v>
      </c>
      <c r="J254" s="32" cm="1">
        <f t="array" ref="J254">BearPrice($C124,$C125,$C126,$C127,J175,$C128,$C130)</f>
        <v>11.607426065232355</v>
      </c>
      <c r="K254" s="32" cm="1">
        <f t="array" ref="K254">BearPrice($C124,$C125,$C126,$C127,K175,$C128,$C130)</f>
        <v>11.825888226709235</v>
      </c>
      <c r="L254" s="32" cm="1">
        <f t="array" ref="L254">BearPrice($C124,$C125,$C126,$C127,L175,$C128,$C130)</f>
        <v>11.747615435955153</v>
      </c>
      <c r="M254" s="32" cm="1">
        <f t="array" ref="M254">BearPrice($C124,$C125,$C126,$C127,M175,$C128,$C130)</f>
        <v>11.781352403394841</v>
      </c>
      <c r="N254" s="32" cm="1">
        <f t="array" ref="N254">BearPrice($C124,$C125,$C126,$C127,N175,$C128,$C130)</f>
        <v>11.810655461381394</v>
      </c>
      <c r="O254" s="32" cm="1">
        <f t="array" ref="O254">BearPrice($C124,$C125,$C126,$C127,O175,$C128,$C130)</f>
        <v>11.723415478491763</v>
      </c>
      <c r="P254" s="32" cm="1">
        <f t="array" ref="P254">BearPrice($C124,$C125,$C126,$C127,P175,$C128,$C130)</f>
        <v>11.832628245959079</v>
      </c>
      <c r="Q254" s="32" cm="1">
        <f t="array" ref="Q254">BearPrice($C124,$C125,$C126,$C127,Q175,$C128,$C130)</f>
        <v>11.662371994530268</v>
      </c>
      <c r="R254" s="32" cm="1">
        <f t="array" ref="R254">BearPrice($C124,$C125,$C126,$C127,R175,$C128,$C130)</f>
        <v>11.831582189851419</v>
      </c>
      <c r="S254" s="32" cm="1">
        <f t="array" ref="S254">BearPrice($C124,$C125,$C126,$C127,S175,$C128,$C130)</f>
        <v>11.722087993248575</v>
      </c>
      <c r="T254" s="32" cm="1">
        <f t="array" ref="T254">BearPrice($C124,$C125,$C126,$C127,T175,$C128,$C130)</f>
        <v>11.817239099413712</v>
      </c>
      <c r="U254" s="32" cm="1">
        <f t="array" ref="U254">BearPrice($C124,$C125,$C126,$C127,U175,$C128,$C130)</f>
        <v>11.788764639624148</v>
      </c>
      <c r="V254" s="32" cm="1">
        <f t="array" ref="V254">BearPrice($C124,$C125,$C126,$C127,V175,$C128,$C130)</f>
        <v>11.795132116167192</v>
      </c>
      <c r="W254" s="32" cm="1">
        <f t="array" ref="W254">BearPrice($C124,$C125,$C126,$C127,W175,$C128,$C130)</f>
        <v>11.832978045587838</v>
      </c>
      <c r="X254" s="32" cm="1">
        <f t="array" ref="X254">BearPrice($C124,$C125,$C126,$C127,X175,$C128,$C130)</f>
        <v>11.768543484132538</v>
      </c>
      <c r="Y254" s="32" cm="1">
        <f t="array" ref="Y254">BearPrice($C124,$C125,$C126,$C127,Y175,$C128,$C130)</f>
        <v>11.861176190880867</v>
      </c>
      <c r="Z254" s="32" cm="1">
        <f t="array" ref="Z254">BearPrice($C124,$C125,$C126,$C127,Z175,$C128,$C130)</f>
        <v>11.739481278616188</v>
      </c>
      <c r="AA254" s="32" cm="1">
        <f t="array" ref="AA254">BearPrice($C124,$C125,$C126,$C127,AA175,$C128,$C130)</f>
        <v>11.877757474436454</v>
      </c>
      <c r="AB254" s="32" cm="1">
        <f t="array" ref="AB254">BearPrice($C124,$C125,$C126,$C127,AB175,$C128,$C130)</f>
        <v>11.709201624168516</v>
      </c>
      <c r="AC254" s="32" cm="1">
        <f t="array" ref="AC254">BearPrice($C124,$C125,$C126,$C127,AC175,$C128,$C130)</f>
        <v>11.885795829243117</v>
      </c>
      <c r="AD254" s="32" cm="1">
        <f t="array" ref="AD254">BearPrice($C124,$C125,$C126,$C127,AD175,$C128,$C130)</f>
        <v>11.695581854338194</v>
      </c>
      <c r="AE254" s="32" cm="1">
        <f t="array" ref="AE254">BearPrice($C124,$C125,$C126,$C127,AE175,$C128,$C130)</f>
        <v>11.887484497768186</v>
      </c>
      <c r="AF254" s="32" cm="1">
        <f t="array" ref="AF254">BearPrice($C124,$C125,$C126,$C127,AF175,$C128,$C130)</f>
        <v>11.729481625403045</v>
      </c>
      <c r="AG254" s="32" cm="1">
        <f t="array" ref="AG254">BearPrice($C124,$C125,$C126,$C127,AG175,$C128,$C130)</f>
        <v>11.884416426875617</v>
      </c>
      <c r="AH254" s="32" cm="1">
        <f t="array" ref="AH254">BearPrice($C124,$C125,$C126,$C127,AH175,$C128,$C130)</f>
        <v>11.755401236954443</v>
      </c>
      <c r="AI254" s="32" cm="1">
        <f t="array" ref="AI254">BearPrice($C124,$C125,$C126,$C127,AI175,$C128,$C130)</f>
        <v>11.877766447119793</v>
      </c>
      <c r="AJ254" s="32" cm="1">
        <f t="array" ref="AJ254">BearPrice($C124,$C125,$C126,$C127,AJ175,$C128,$C130)</f>
        <v>11.774874482310699</v>
      </c>
      <c r="AK254" s="32" cm="1">
        <f t="array" ref="AK254">BearPrice($C124,$C125,$C126,$C127,AK175,$C128,$C130)</f>
        <v>11.868412582327654</v>
      </c>
      <c r="AL254" s="32" cm="1">
        <f t="array" ref="AL254">BearPrice($C124,$C125,$C126,$C127,AL175,$C128,$C130)</f>
        <v>11.789105290372593</v>
      </c>
      <c r="AM254" s="32" cm="1">
        <f t="array" ref="AM254">BearPrice($C124,$C125,$C126,$C127,AM175,$C128,$C130)</f>
        <v>11.857018602329054</v>
      </c>
      <c r="AN254" s="32" cm="1">
        <f t="array" ref="AN254">BearPrice($C124,$C125,$C126,$C127,AN175,$C128,$C130)</f>
        <v>11.799047702400205</v>
      </c>
      <c r="AO254" s="32" cm="1">
        <f t="array" ref="AO254">BearPrice($C124,$C125,$C126,$C127,AO175,$C128,$C130)</f>
        <v>11.844091298308486</v>
      </c>
      <c r="AP254" s="32" cm="1">
        <f t="array" ref="AP254">BearPrice($C124,$C125,$C126,$C127,AP175,$C128,$C130)</f>
        <v>11.805464342375005</v>
      </c>
      <c r="AQ254" s="32" cm="1">
        <f t="array" ref="AQ254">BearPrice($C124,$C125,$C126,$C127,AQ175,$C128,$C130)</f>
        <v>11.830020913991161</v>
      </c>
      <c r="AR254" s="32" cm="1">
        <f t="array" ref="AR254">BearPrice($C124,$C125,$C126,$C127,AR175,$C128,$C130)</f>
        <v>11.808969686203737</v>
      </c>
      <c r="AS254" s="32" cm="1">
        <f t="array" ref="AS254">BearPrice($C124,$C125,$C126,$C127,AS175,$C128,$C130)</f>
        <v>11.815110133424492</v>
      </c>
      <c r="AT254" s="32" cm="1">
        <f t="array" ref="AT254">BearPrice($C124,$C125,$C126,$C127,AT175,$C128,$C130)</f>
        <v>11.810062449697929</v>
      </c>
      <c r="AU254" s="32" cm="1">
        <f t="array" ref="AU254">BearPrice($C124,$C125,$C126,$C127,AU175,$C128,$C130)</f>
        <v>11.831708722293724</v>
      </c>
      <c r="AV254" s="32" cm="1">
        <f t="array" ref="AV254">BearPrice($C124,$C125,$C126,$C127,AV175,$C128,$C130)</f>
        <v>11.809150092564273</v>
      </c>
      <c r="AW254" s="32" cm="1">
        <f t="array" ref="AW254">BearPrice($C124,$C125,$C126,$C127,AW175,$C128,$C130)</f>
        <v>11.840910703984171</v>
      </c>
      <c r="AX254" s="32" cm="1">
        <f t="array" ref="AX254">BearPrice($C124,$C125,$C126,$C127,AX175,$C128,$C130)</f>
        <v>11.8065675438834</v>
      </c>
      <c r="AY254" s="32" cm="1">
        <f t="array" ref="AY254">BearPrice($C124,$C125,$C126,$C127,AY175,$C128,$C130)</f>
        <v>11.847806505077903</v>
      </c>
      <c r="AZ254" s="32" cm="1">
        <f t="array" ref="AZ254">BearPrice($C124,$C125,$C126,$C127,AZ175,$C128,$C130)</f>
        <v>11.80259164598689</v>
      </c>
      <c r="BA254" s="32" cm="1">
        <f t="array" ref="BA254">BearPrice($C124,$C125,$C126,$C127,BA175,$C128,$C130)</f>
        <v>11.852708207257304</v>
      </c>
      <c r="BB254" s="32" cm="1">
        <f t="array" ref="BB254">BearPrice($C124,$C125,$C126,$C127,BB175,$C128,$C130)</f>
        <v>11.797452393244052</v>
      </c>
      <c r="BC254" s="32" cm="1">
        <f t="array" ref="BC254">BearPrice($C124,$C125,$C126,$C127,BC175,$C128,$C130)</f>
        <v>11.855881958049313</v>
      </c>
      <c r="BD254" s="32" cm="1">
        <f t="array" ref="BD254">BearPrice($C124,$C125,$C126,$C127,BD175,$C128,$C130)</f>
        <v>11.791341748431787</v>
      </c>
      <c r="BE254" s="32" cm="1">
        <f t="array" ref="BE254">BearPrice($C124,$C125,$C126,$C127,BE175,$C128,$C130)</f>
        <v>11.857555563731756</v>
      </c>
      <c r="BF254" s="32" cm="1">
        <f t="array" ref="BF254">BearPrice($C124,$C125,$C126,$C127,BF175,$C128,$C130)</f>
        <v>11.784420611627748</v>
      </c>
      <c r="BG254" s="32" cm="1">
        <f t="array" ref="BG254">BearPrice($C124,$C125,$C126,$C127,BG175,$C128,$C130)</f>
        <v>11.857924690653419</v>
      </c>
      <c r="BH254" s="32" cm="1">
        <f t="array" ref="BH254">BearPrice($C124,$C125,$C126,$C127,BH175,$C128,$C130)</f>
        <v>11.776824368113621</v>
      </c>
      <c r="BI254" s="32" cm="1">
        <f t="array" ref="BI254">BearPrice($C124,$C125,$C126,$C127,BI175,$C128,$C130)</f>
        <v>11.857157952416463</v>
      </c>
      <c r="BJ254" s="32" cm="1">
        <f t="array" ref="BJ254">BearPrice($C124,$C125,$C126,$C127,BJ175,$C128,$C130)</f>
        <v>11.768667334569127</v>
      </c>
      <c r="BK254" s="32" cm="1">
        <f t="array" ref="BK254">BearPrice($C124,$C125,$C126,$C127,BK175,$C128,$C130)</f>
        <v>11.855401101408265</v>
      </c>
      <c r="BL254" s="32" cm="1">
        <f t="array" ref="BL254">BearPrice($C124,$C125,$C126,$C127,BL175,$C128,$C130)</f>
        <v>11.760097107532589</v>
      </c>
      <c r="BM254" s="32" cm="1">
        <f t="array" ref="BM254">BearPrice($C124,$C125,$C126,$C127,BM175,$C128,$C130)</f>
        <v>11.852780497240905</v>
      </c>
      <c r="BN254" s="32" cm="1">
        <f t="array" ref="BN254">BearPrice($C124,$C125,$C126,$C127,BN175,$C128,$C130)</f>
        <v>11.771661971055547</v>
      </c>
      <c r="BO254" s="32" cm="1">
        <f t="array" ref="BO254">BearPrice($C124,$C125,$C126,$C127,BO175,$C128,$C130)</f>
        <v>11.84940598890841</v>
      </c>
      <c r="BP254" s="32" cm="1">
        <f t="array" ref="BP254">BearPrice($C124,$C125,$C126,$C127,BP175,$C128,$C130)</f>
        <v>11.781649359470389</v>
      </c>
      <c r="BQ254" s="32" cm="1">
        <f t="array" ref="BQ254">BearPrice($C124,$C125,$C126,$C127,BQ175,$C128,$C130)</f>
        <v>11.8453733195184</v>
      </c>
      <c r="BR254" s="32" cm="1">
        <f t="array" ref="BR254">BearPrice($C124,$C125,$C126,$C127,BR175,$C128,$C130)</f>
        <v>11.790215452355758</v>
      </c>
      <c r="BS254" s="32" cm="1">
        <f t="array" ref="BS254">BearPrice($C124,$C125,$C126,$C127,BS175,$C128,$C130)</f>
        <v>11.840766140589729</v>
      </c>
      <c r="BT254" s="32" cm="1">
        <f t="array" ref="BT254">BearPrice($C124,$C125,$C126,$C127,BT175,$C128,$C130)</f>
        <v>11.797499014984393</v>
      </c>
      <c r="BU254" s="32" cm="1">
        <f t="array" ref="BU254">BearPrice($C124,$C125,$C126,$C127,BU175,$C128,$C130)</f>
        <v>11.835657705721529</v>
      </c>
      <c r="BV254" s="32" cm="1">
        <f t="array" ref="BV254">BearPrice($C124,$C125,$C126,$C127,BV175,$C128,$C130)</f>
        <v>11.803623620015969</v>
      </c>
      <c r="BW254" s="32" cm="1">
        <f t="array" ref="BW254">BearPrice($C124,$C125,$C126,$C127,BW175,$C128,$C130)</f>
        <v>11.830112299880817</v>
      </c>
      <c r="BX254" s="32" cm="1">
        <f t="array" ref="BX254">BearPrice($C124,$C125,$C126,$C127,BX175,$C128,$C130)</f>
        <v>11.808699550035882</v>
      </c>
      <c r="BY254" s="32" cm="1">
        <f t="array" ref="BY254">BearPrice($C124,$C125,$C126,$C127,BY175,$C128,$C130)</f>
        <v>11.824186449820356</v>
      </c>
      <c r="BZ254" s="32" cm="1">
        <f t="array" ref="BZ254">BearPrice($C124,$C125,$C126,$C127,BZ175,$C128,$C130)</f>
        <v>11.812825431599773</v>
      </c>
      <c r="CA254" s="32" cm="1">
        <f t="array" ref="CA254">BearPrice($C124,$C125,$C126,$C127,CA175,$C128,$C130)</f>
        <v>11.817929952611344</v>
      </c>
      <c r="CB254" s="32" cm="1">
        <f t="array" ref="CB254">BearPrice($C124,$C125,$C126,$C127,CB175,$C128,$C130)</f>
        <v>11.816089642718724</v>
      </c>
      <c r="CC254" s="32" cm="1">
        <f t="array" ref="CC254">BearPrice($C124,$C125,$C126,$C127,CC175,$C128,$C130)</f>
        <v>11.811386752457125</v>
      </c>
      <c r="CD254" s="32" cm="1">
        <f t="array" ref="CD254">BearPrice($C124,$C125,$C126,$C127,CD175,$C128,$C130)</f>
        <v>11.818571528593022</v>
      </c>
      <c r="CE254" s="32" cm="1">
        <f t="array" ref="CE254">BearPrice($C124,$C125,$C126,$C127,CE175,$C128,$C130)</f>
        <v>11.804595690497868</v>
      </c>
      <c r="CF254" s="32" cm="1">
        <f t="array" ref="CF254">BearPrice($C124,$C125,$C126,$C127,CF175,$C128,$C130)</f>
        <v>11.820342454574513</v>
      </c>
      <c r="CG254" s="32" cm="1">
        <f t="array" ref="CG254">BearPrice($C124,$C125,$C126,$C127,CG175,$C128,$C130)</f>
        <v>11.797591147922628</v>
      </c>
      <c r="CH254" s="32" cm="1">
        <f t="array" ref="CH254">BearPrice($C124,$C125,$C126,$C127,CH175,$C128,$C130)</f>
        <v>11.821466720551397</v>
      </c>
      <c r="CI254" s="32" cm="1">
        <f t="array" ref="CI254">BearPrice($C124,$C125,$C126,$C127,CI175,$C128,$C130)</f>
        <v>11.794339554788724</v>
      </c>
      <c r="CJ254" s="32" cm="1">
        <f t="array" ref="CJ254">BearPrice($C124,$C125,$C126,$C127,CJ175,$C128,$C130)</f>
        <v>11.822002357030286</v>
      </c>
      <c r="CK254" s="32" cm="1">
        <f t="array" ref="CK254">BearPrice($C124,$C125,$C126,$C127,CK175,$C128,$C130)</f>
        <v>11.799877776547012</v>
      </c>
      <c r="CL254" s="32" cm="1">
        <f t="array" ref="CL254">BearPrice($C124,$C125,$C126,$C127,CL175,$C128,$C130)</f>
        <v>11.822001819925859</v>
      </c>
      <c r="CM254" s="32" cm="1">
        <f t="array" ref="CM254">BearPrice($C124,$C125,$C126,$C127,CM175,$C128,$C130)</f>
        <v>11.80469678375753</v>
      </c>
      <c r="CN254" s="32" cm="1">
        <f t="array" ref="CN254">BearPrice($C124,$C125,$C126,$C127,CN175,$C128,$C130)</f>
        <v>11.821512598403622</v>
      </c>
      <c r="CO254" s="32" cm="1">
        <f t="array" ref="CO254">BearPrice($C124,$C125,$C126,$C127,CO175,$C128,$C130)</f>
        <v>11.808851169985509</v>
      </c>
      <c r="CP254" s="32" cm="1">
        <f t="array" ref="CP254">BearPrice($C124,$C125,$C126,$C127,CP175,$C128,$C130)</f>
        <v>11.820577747889777</v>
      </c>
      <c r="CQ254" s="32" cm="1">
        <f t="array" ref="CQ254">BearPrice($C124,$C125,$C126,$C127,CQ175,$C128,$C130)</f>
        <v>11.812390933754005</v>
      </c>
      <c r="CR254" s="32" cm="1">
        <f t="array" ref="CR254">BearPrice($C124,$C125,$C126,$C127,CR175,$C128,$C130)</f>
        <v>11.819236358500458</v>
      </c>
      <c r="CS254" s="32" cm="1">
        <f t="array" ref="CS254">BearPrice($C124,$C125,$C126,$C127,CS175,$C128,$C130)</f>
        <v>11.815361919548939</v>
      </c>
      <c r="CT254" s="32" cm="1">
        <f t="array" ref="CT254">BearPrice($C124,$C125,$C126,$C127,CT175,$C128,$C130)</f>
        <v>11.817523967616047</v>
      </c>
      <c r="CU254" s="32" cm="1">
        <f t="array" ref="CU254">BearPrice($C124,$C125,$C126,$C127,CU175,$C128,$C130)</f>
        <v>11.817806211255174</v>
      </c>
      <c r="CV254" s="32" cm="1">
        <f t="array" ref="CV254">BearPrice($C124,$C125,$C126,$C127,CV175,$C128,$C130)</f>
        <v>11.815472924015927</v>
      </c>
      <c r="CW254" s="32" cm="1">
        <f t="array" ref="CW254">BearPrice($C124,$C125,$C126,$C127,CW175,$C128,$C130)</f>
        <v>11.819762483670214</v>
      </c>
      <c r="CX254" s="32" cm="1">
        <f t="array" ref="CX254">BearPrice($C124,$C125,$C126,$C127,CX175,$C128,$C130)</f>
        <v>11.81311270991571</v>
      </c>
      <c r="CY254" s="32"/>
      <c r="CZ254" s="32"/>
      <c r="DA254" s="32"/>
      <c r="DB254" s="32"/>
      <c r="DC254" s="32"/>
      <c r="DD254" s="32"/>
      <c r="DE254" s="32"/>
      <c r="DF254" s="32"/>
      <c r="DG254" s="32"/>
    </row>
    <row r="255" spans="3:111" ht="20.350000000000001" customHeight="1" x14ac:dyDescent="0.45">
      <c r="C255" s="47" t="s">
        <v>49</v>
      </c>
      <c r="D255" s="32" cm="1">
        <f t="array" ref="D255">BearDelta($C124,$C125,$C126,$C127,D175,$C128,$C130)</f>
        <v>-0.34493013716416948</v>
      </c>
      <c r="E255" s="32" cm="1">
        <f t="array" ref="E255">BearDelta($C124,$C125,$C126,$C127,E175,$C128,$C130)</f>
        <v>-0.37190047489565875</v>
      </c>
      <c r="F255" s="32" cm="1">
        <f t="array" ref="F255">BearDelta($C124,$C125,$C126,$C127,F175,$C128,$C130)</f>
        <v>-0.36128187324651295</v>
      </c>
      <c r="G255" s="32" cm="1">
        <f t="array" ref="G255">BearDelta($C124,$C125,$C126,$C127,G175,$C128,$C130)</f>
        <v>-0.35335300805871495</v>
      </c>
      <c r="H255" s="32" cm="1">
        <f t="array" ref="H255">BearDelta($C124,$C125,$C126,$C127,H175,$C128,$C130)</f>
        <v>-0.36717662861461647</v>
      </c>
      <c r="I255" s="32" cm="1">
        <f t="array" ref="I255">BearDelta($C124,$C125,$C126,$C127,I175,$C128,$C130)</f>
        <v>-0.3520410474395444</v>
      </c>
      <c r="J255" s="32" cm="1">
        <f t="array" ref="J255">BearDelta($C124,$C125,$C126,$C127,J175,$C128,$C130)</f>
        <v>-0.3600341877330937</v>
      </c>
      <c r="K255" s="32" cm="1">
        <f t="array" ref="K255">BearDelta($C124,$C125,$C126,$C127,K175,$C128,$C130)</f>
        <v>-0.35362244033742513</v>
      </c>
      <c r="L255" s="32" cm="1">
        <f t="array" ref="L255">BearDelta($C124,$C125,$C126,$C127,L175,$C128,$C130)</f>
        <v>-0.35274474665903111</v>
      </c>
      <c r="M255" s="32" cm="1">
        <f t="array" ref="M255">BearDelta($C124,$C125,$C126,$C127,M175,$C128,$C130)</f>
        <v>-0.35565923782925773</v>
      </c>
      <c r="N255" s="32" cm="1">
        <f t="array" ref="N255">BearDelta($C124,$C125,$C126,$C127,N175,$C128,$C130)</f>
        <v>-0.34990742812284348</v>
      </c>
      <c r="O255" s="32" cm="1">
        <f t="array" ref="O255">BearDelta($C124,$C125,$C126,$C127,O175,$C128,$C130)</f>
        <v>-0.35760392501637495</v>
      </c>
      <c r="P255" s="32" cm="1">
        <f t="array" ref="P255">BearDelta($C124,$C125,$C126,$C127,P175,$C128,$C130)</f>
        <v>-0.34908461034984878</v>
      </c>
      <c r="Q255" s="32" cm="1">
        <f t="array" ref="Q255">BearDelta($C124,$C125,$C126,$C127,Q175,$C128,$C130)</f>
        <v>-0.35933738191714593</v>
      </c>
      <c r="R255" s="32" cm="1">
        <f t="array" ref="R255">BearDelta($C124,$C125,$C126,$C127,R175,$C128,$C130)</f>
        <v>-0.34922978827313217</v>
      </c>
      <c r="S255" s="32" cm="1">
        <f t="array" ref="S255">BearDelta($C124,$C125,$C126,$C127,S175,$C128,$C130)</f>
        <v>-0.35648511643042863</v>
      </c>
      <c r="T255" s="32" cm="1">
        <f t="array" ref="T255">BearDelta($C124,$C125,$C126,$C127,T175,$C128,$C130)</f>
        <v>-0.34984998869723616</v>
      </c>
      <c r="U255" s="32" cm="1">
        <f t="array" ref="U255">BearDelta($C124,$C125,$C126,$C127,U175,$C128,$C130)</f>
        <v>-0.35376676128933621</v>
      </c>
      <c r="V255" s="32" cm="1">
        <f t="array" ref="V255">BearDelta($C124,$C125,$C126,$C127,V175,$C128,$C130)</f>
        <v>-0.35069764936864806</v>
      </c>
      <c r="W255" s="32" cm="1">
        <f t="array" ref="W255">BearDelta($C124,$C125,$C126,$C127,W175,$C128,$C130)</f>
        <v>-0.35211182078280623</v>
      </c>
      <c r="X255" s="32" cm="1">
        <f t="array" ref="X255">BearDelta($C124,$C125,$C126,$C127,X175,$C128,$C130)</f>
        <v>-0.35164300222758799</v>
      </c>
      <c r="Y255" s="32" cm="1">
        <f t="array" ref="Y255">BearDelta($C124,$C125,$C126,$C127,Y175,$C128,$C130)</f>
        <v>-0.35115767318946534</v>
      </c>
      <c r="Z255" s="32" cm="1">
        <f t="array" ref="Z255">BearDelta($C124,$C125,$C126,$C127,Z175,$C128,$C130)</f>
        <v>-0.35261629823229107</v>
      </c>
      <c r="AA255" s="32" cm="1">
        <f t="array" ref="AA255">BearDelta($C124,$C125,$C126,$C127,AA175,$C128,$C130)</f>
        <v>-0.35067428259912004</v>
      </c>
      <c r="AB255" s="32" cm="1">
        <f t="array" ref="AB255">BearDelta($C124,$C125,$C126,$C127,AB175,$C128,$C130)</f>
        <v>-0.35357978348496094</v>
      </c>
      <c r="AC255" s="32" cm="1">
        <f t="array" ref="AC255">BearDelta($C124,$C125,$C126,$C127,AC175,$C128,$C130)</f>
        <v>-0.35051146631425617</v>
      </c>
      <c r="AD255" s="32" cm="1">
        <f t="array" ref="AD255">BearDelta($C124,$C125,$C126,$C127,AD175,$C128,$C130)</f>
        <v>-0.35386662097699895</v>
      </c>
      <c r="AE255" s="32" cm="1">
        <f t="array" ref="AE255">BearDelta($C124,$C125,$C126,$C127,AE175,$C128,$C130)</f>
        <v>-0.35056880264975715</v>
      </c>
      <c r="AF255" s="32" cm="1">
        <f t="array" ref="AF255">BearDelta($C124,$C125,$C126,$C127,AF175,$C128,$C130)</f>
        <v>-0.35242257760583751</v>
      </c>
      <c r="AG255" s="32" cm="1">
        <f t="array" ref="AG255">BearDelta($C124,$C125,$C126,$C127,AG175,$C128,$C130)</f>
        <v>-0.35077779191007713</v>
      </c>
      <c r="AH255" s="32" cm="1">
        <f t="array" ref="AH255">BearDelta($C124,$C125,$C126,$C127,AH175,$C128,$C130)</f>
        <v>-0.35137944603635035</v>
      </c>
      <c r="AI255" s="32" cm="1">
        <f t="array" ref="AI255">BearDelta($C124,$C125,$C126,$C127,AI175,$C128,$C130)</f>
        <v>-0.35109092900549366</v>
      </c>
      <c r="AJ255" s="32" cm="1">
        <f t="array" ref="AJ255">BearDelta($C124,$C125,$C126,$C127,AJ175,$C128,$C130)</f>
        <v>-0.35064372254675702</v>
      </c>
      <c r="AK255" s="32" cm="1">
        <f t="array" ref="AK255">BearDelta($C124,$C125,$C126,$C127,AK175,$C128,$C130)</f>
        <v>-0.35147481688137944</v>
      </c>
      <c r="AL255" s="32" cm="1">
        <f t="array" ref="AL255">BearDelta($C124,$C125,$C126,$C127,AL175,$C128,$C130)</f>
        <v>-0.35014556074105663</v>
      </c>
      <c r="AM255" s="32" cm="1">
        <f t="array" ref="AM255">BearDelta($C124,$C125,$C126,$C127,AM175,$C128,$C130)</f>
        <v>-0.35190571739190823</v>
      </c>
      <c r="AN255" s="32" cm="1">
        <f t="array" ref="AN255">BearDelta($C124,$C125,$C126,$C127,AN175,$C128,$C130)</f>
        <v>-0.34983215892123276</v>
      </c>
      <c r="AO255" s="32" cm="1">
        <f t="array" ref="AO255">BearDelta($C124,$C125,$C126,$C127,AO175,$C128,$C130)</f>
        <v>-0.35236661344157139</v>
      </c>
      <c r="AP255" s="32" cm="1">
        <f t="array" ref="AP255">BearDelta($C124,$C125,$C126,$C127,AP175,$C128,$C130)</f>
        <v>-0.3496631730684846</v>
      </c>
      <c r="AQ255" s="32" cm="1">
        <f t="array" ref="AQ255">BearDelta($C124,$C125,$C126,$C127,AQ175,$C128,$C130)</f>
        <v>-0.35284523123086609</v>
      </c>
      <c r="AR255" s="32" cm="1">
        <f t="array" ref="AR255">BearDelta($C124,$C125,$C126,$C127,AR175,$C128,$C130)</f>
        <v>-0.34960748312871054</v>
      </c>
      <c r="AS255" s="32" cm="1">
        <f t="array" ref="AS255">BearDelta($C124,$C125,$C126,$C127,AS175,$C128,$C130)</f>
        <v>-0.35333268581605903</v>
      </c>
      <c r="AT255" s="32" cm="1">
        <f t="array" ref="AT255">BearDelta($C124,$C125,$C126,$C127,AT175,$C128,$C130)</f>
        <v>-0.34964087952519951</v>
      </c>
      <c r="AU255" s="32" cm="1">
        <f t="array" ref="AU255">BearDelta($C124,$C125,$C126,$C127,AU175,$C128,$C130)</f>
        <v>-0.35251586491816433</v>
      </c>
      <c r="AV255" s="32" cm="1">
        <f t="array" ref="AV255">BearDelta($C124,$C125,$C126,$C127,AV175,$C128,$C130)</f>
        <v>-0.34974438561230209</v>
      </c>
      <c r="AW255" s="32" cm="1">
        <f t="array" ref="AW255">BearDelta($C124,$C125,$C126,$C127,AW175,$C128,$C130)</f>
        <v>-0.35181084353656289</v>
      </c>
      <c r="AX255" s="32" cm="1">
        <f t="array" ref="AX255">BearDelta($C124,$C125,$C126,$C127,AX175,$C128,$C130)</f>
        <v>-0.34990302618236957</v>
      </c>
      <c r="AY255" s="32" cm="1">
        <f t="array" ref="AY255">BearDelta($C124,$C125,$C126,$C127,AY175,$C128,$C130)</f>
        <v>-0.35125137644780158</v>
      </c>
      <c r="AZ255" s="32" cm="1">
        <f t="array" ref="AZ255">BearDelta($C124,$C125,$C126,$C127,AZ175,$C128,$C130)</f>
        <v>-0.35010491314060815</v>
      </c>
      <c r="BA255" s="32" cm="1">
        <f t="array" ref="BA255">BearDelta($C124,$C125,$C126,$C127,BA175,$C128,$C130)</f>
        <v>-0.35081404476071348</v>
      </c>
      <c r="BB255" s="32" cm="1">
        <f t="array" ref="BB255">BearDelta($C124,$C125,$C126,$C127,BB175,$C128,$C130)</f>
        <v>-0.35034055956195315</v>
      </c>
      <c r="BC255" s="32" cm="1">
        <f t="array" ref="BC255">BearDelta($C124,$C125,$C126,$C127,BC175,$C128,$C130)</f>
        <v>-0.35047952823647749</v>
      </c>
      <c r="BD255" s="32" cm="1">
        <f t="array" ref="BD255">BearDelta($C124,$C125,$C126,$C127,BD175,$C128,$C130)</f>
        <v>-0.35060236012351836</v>
      </c>
      <c r="BE255" s="32" cm="1">
        <f t="array" ref="BE255">BearDelta($C124,$C125,$C126,$C127,BE175,$C128,$C130)</f>
        <v>-0.35023180475197885</v>
      </c>
      <c r="BF255" s="32" cm="1">
        <f t="array" ref="BF255">BearDelta($C124,$C125,$C126,$C127,BF175,$C128,$C130)</f>
        <v>-0.35088419405435339</v>
      </c>
      <c r="BG255" s="32" cm="1">
        <f t="array" ref="BG255">BearDelta($C124,$C125,$C126,$C127,BG175,$C128,$C130)</f>
        <v>-0.35005752306781435</v>
      </c>
      <c r="BH255" s="32" cm="1">
        <f t="array" ref="BH255">BearDelta($C124,$C125,$C126,$C127,BH175,$C128,$C130)</f>
        <v>-0.35118111921268164</v>
      </c>
      <c r="BI255" s="32" cm="1">
        <f t="array" ref="BI255">BearDelta($C124,$C125,$C126,$C127,BI175,$C128,$C130)</f>
        <v>-0.3499455077934599</v>
      </c>
      <c r="BJ255" s="32" cm="1">
        <f t="array" ref="BJ255">BearDelta($C124,$C125,$C126,$C127,BJ175,$C128,$C130)</f>
        <v>-0.35148913457620456</v>
      </c>
      <c r="BK255" s="32" cm="1">
        <f t="array" ref="BK255">BearDelta($C124,$C125,$C126,$C127,BK175,$C128,$C130)</f>
        <v>-0.34988636600749506</v>
      </c>
      <c r="BL255" s="32" cm="1">
        <f t="array" ref="BL255">BearDelta($C124,$C125,$C126,$C127,BL175,$C128,$C130)</f>
        <v>-0.35180305891360591</v>
      </c>
      <c r="BM255" s="32" cm="1">
        <f t="array" ref="BM255">BearDelta($C124,$C125,$C126,$C127,BM175,$C128,$C130)</f>
        <v>-0.34987217264236647</v>
      </c>
      <c r="BN255" s="32" cm="1">
        <f t="array" ref="BN255">BearDelta($C124,$C125,$C126,$C127,BN175,$C128,$C130)</f>
        <v>-0.3513522719634154</v>
      </c>
      <c r="BO255" s="32" cm="1">
        <f t="array" ref="BO255">BearDelta($C124,$C125,$C126,$C127,BO175,$C128,$C130)</f>
        <v>-0.34989621733589832</v>
      </c>
      <c r="BP255" s="32" cm="1">
        <f t="array" ref="BP255">BearDelta($C124,$C125,$C126,$C127,BP175,$C128,$C130)</f>
        <v>-0.35097493493022125</v>
      </c>
      <c r="BQ255" s="32" cm="1">
        <f t="array" ref="BQ255">BearDelta($C124,$C125,$C126,$C127,BQ175,$C128,$C130)</f>
        <v>-0.34995279957578918</v>
      </c>
      <c r="BR255" s="32" cm="1">
        <f t="array" ref="BR255">BearDelta($C124,$C125,$C126,$C127,BR175,$C128,$C130)</f>
        <v>-0.35066213910295019</v>
      </c>
      <c r="BS255" s="32" cm="1">
        <f t="array" ref="BS255">BearDelta($C124,$C125,$C126,$C127,BS175,$C128,$C130)</f>
        <v>-0.35003706202994772</v>
      </c>
      <c r="BT255" s="32" cm="1">
        <f t="array" ref="BT255">BearDelta($C124,$C125,$C126,$C127,BT175,$C128,$C130)</f>
        <v>-0.35040615141925641</v>
      </c>
      <c r="BU255" s="32" cm="1">
        <f t="array" ref="BU255">BearDelta($C124,$C125,$C126,$C127,BU175,$C128,$C130)</f>
        <v>-0.35014485425387842</v>
      </c>
      <c r="BV255" s="32" cm="1">
        <f t="array" ref="BV255">BearDelta($C124,$C125,$C126,$C127,BV175,$C128,$C130)</f>
        <v>-0.35020024060176186</v>
      </c>
      <c r="BW255" s="32" cm="1">
        <f t="array" ref="BW255">BearDelta($C124,$C125,$C126,$C127,BW175,$C128,$C130)</f>
        <v>-0.35027262070175957</v>
      </c>
      <c r="BX255" s="32" cm="1">
        <f t="array" ref="BX255">BearDelta($C124,$C125,$C126,$C127,BX175,$C128,$C130)</f>
        <v>-0.35003853192710521</v>
      </c>
      <c r="BY255" s="32" cm="1">
        <f t="array" ref="BY255">BearDelta($C124,$C125,$C126,$C127,BY175,$C128,$C130)</f>
        <v>-0.35041730828796624</v>
      </c>
      <c r="BZ255" s="32" cm="1">
        <f t="array" ref="BZ255">BearDelta($C124,$C125,$C126,$C127,BZ175,$C128,$C130)</f>
        <v>-0.34991588543814078</v>
      </c>
      <c r="CA255" s="32" cm="1">
        <f t="array" ref="CA255">BearDelta($C124,$C125,$C126,$C127,CA175,$C128,$C130)</f>
        <v>-0.3505762897567033</v>
      </c>
      <c r="CB255" s="32" cm="1">
        <f t="array" ref="CB255">BearDelta($C124,$C125,$C126,$C127,CB175,$C128,$C130)</f>
        <v>-0.34982779343318815</v>
      </c>
      <c r="CC255" s="32" cm="1">
        <f t="array" ref="CC255">BearDelta($C124,$C125,$C126,$C127,CC175,$C128,$C130)</f>
        <v>-0.35074729989626002</v>
      </c>
      <c r="CD255" s="32" cm="1">
        <f t="array" ref="CD255">BearDelta($C124,$C125,$C126,$C127,CD175,$C128,$C130)</f>
        <v>-0.34977029387169772</v>
      </c>
      <c r="CE255" s="32" cm="1">
        <f t="array" ref="CE255">BearDelta($C124,$C125,$C126,$C127,CE175,$C128,$C130)</f>
        <v>-0.35092838223874201</v>
      </c>
      <c r="CF255" s="32" cm="1">
        <f t="array" ref="CF255">BearDelta($C124,$C125,$C126,$C127,CF175,$C128,$C130)</f>
        <v>-0.34973989697413466</v>
      </c>
      <c r="CG255" s="32" cm="1">
        <f t="array" ref="CG255">BearDelta($C124,$C125,$C126,$C127,CG175,$C128,$C130)</f>
        <v>-0.35111784435734361</v>
      </c>
      <c r="CH255" s="32" cm="1">
        <f t="array" ref="CH255">BearDelta($C124,$C125,$C126,$C127,CH175,$C128,$C130)</f>
        <v>-0.34973352280105074</v>
      </c>
      <c r="CI255" s="32" cm="1">
        <f t="array" ref="CI255">BearDelta($C124,$C125,$C126,$C127,CI175,$C128,$C130)</f>
        <v>-0.35116471233360935</v>
      </c>
      <c r="CJ255" s="32" cm="1">
        <f t="array" ref="CJ255">BearDelta($C124,$C125,$C126,$C127,CJ175,$C128,$C130)</f>
        <v>-0.34974844800176191</v>
      </c>
      <c r="CK255" s="32" cm="1">
        <f t="array" ref="CK255">BearDelta($C124,$C125,$C126,$C127,CK175,$C128,$C130)</f>
        <v>-0.35088480997404337</v>
      </c>
      <c r="CL255" s="32" cm="1">
        <f t="array" ref="CL255">BearDelta($C124,$C125,$C126,$C127,CL175,$C128,$C130)</f>
        <v>-0.34978226024829767</v>
      </c>
      <c r="CM255" s="32" cm="1">
        <f t="array" ref="CM255">BearDelta($C124,$C125,$C126,$C127,CM175,$C128,$C130)</f>
        <v>-0.35064213064531208</v>
      </c>
      <c r="CN255" s="32" cm="1">
        <f t="array" ref="CN255">BearDelta($C124,$C125,$C126,$C127,CN175,$C128,$C130)</f>
        <v>-0.34983281913237024</v>
      </c>
      <c r="CO255" s="32" cm="1">
        <f t="array" ref="CO255">BearDelta($C124,$C125,$C126,$C127,CO175,$C128,$C130)</f>
        <v>-0.35043323091745954</v>
      </c>
      <c r="CP255" s="32" cm="1">
        <f t="array" ref="CP255">BearDelta($C124,$C125,$C126,$C127,CP175,$C128,$C130)</f>
        <v>-0.34989822251536679</v>
      </c>
      <c r="CQ255" s="32" cm="1">
        <f t="array" ref="CQ255">BearDelta($C124,$C125,$C126,$C127,CQ175,$C128,$C130)</f>
        <v>-0.35025501316919538</v>
      </c>
      <c r="CR255" s="32" cm="1">
        <f t="array" ref="CR255">BearDelta($C124,$C125,$C126,$C127,CR175,$C128,$C130)</f>
        <v>-0.34997677749338851</v>
      </c>
      <c r="CS255" s="32" cm="1">
        <f t="array" ref="CS255">BearDelta($C124,$C125,$C126,$C127,CS175,$C128,$C130)</f>
        <v>-0.35010468654112958</v>
      </c>
      <c r="CT255" s="32" cm="1">
        <f t="array" ref="CT255">BearDelta($C124,$C125,$C126,$C127,CT175,$C128,$C130)</f>
        <v>-0.35006697528021608</v>
      </c>
      <c r="CU255" s="32" cm="1">
        <f t="array" ref="CU255">BearDelta($C124,$C125,$C126,$C127,CU175,$C128,$C130)</f>
        <v>-0.34997973282108347</v>
      </c>
      <c r="CV255" s="32" cm="1">
        <f t="array" ref="CV255">BearDelta($C124,$C125,$C126,$C127,CV175,$C128,$C130)</f>
        <v>-0.35016746942587473</v>
      </c>
      <c r="CW255" s="32" cm="1">
        <f t="array" ref="CW255">BearDelta($C124,$C125,$C126,$C127,CW175,$C128,$C130)</f>
        <v>-0.34987787657251102</v>
      </c>
      <c r="CX255" s="32" cm="1">
        <f t="array" ref="CX255">BearDelta($C124,$C125,$C126,$C127,CX175,$C128,$C130)</f>
        <v>-0.35027705688296562</v>
      </c>
      <c r="CY255" s="32"/>
      <c r="CZ255" s="32"/>
      <c r="DA255" s="32"/>
      <c r="DB255" s="32"/>
      <c r="DC255" s="32"/>
      <c r="DD255" s="32"/>
      <c r="DE255" s="32"/>
      <c r="DF255" s="32"/>
      <c r="DG255" s="32"/>
    </row>
    <row r="256" spans="3:111" ht="20.350000000000001" customHeight="1" x14ac:dyDescent="0.45">
      <c r="C256" s="47" t="s">
        <v>50</v>
      </c>
      <c r="D256" s="32">
        <f>LOG(ABS(D254-$D258))</f>
        <v>-7.5293097402644681E-4</v>
      </c>
      <c r="E256" s="32">
        <f t="shared" ref="E256:BP256" si="51">LOG(ABS(E254-$D258))</f>
        <v>-0.15319403688468974</v>
      </c>
      <c r="F256" s="32">
        <f t="shared" si="51"/>
        <v>-0.76405677834556374</v>
      </c>
      <c r="G256" s="32">
        <f t="shared" si="51"/>
        <v>-0.94764830203375083</v>
      </c>
      <c r="H256" s="32">
        <f t="shared" si="51"/>
        <v>-0.61755058206353564</v>
      </c>
      <c r="I256" s="32">
        <f t="shared" si="51"/>
        <v>-2.0862475440856341</v>
      </c>
      <c r="J256" s="32">
        <f t="shared" si="51"/>
        <v>-0.66947204827581597</v>
      </c>
      <c r="K256" s="32">
        <f t="shared" si="51"/>
        <v>-2.3559661212422149</v>
      </c>
      <c r="L256" s="32">
        <f t="shared" si="51"/>
        <v>-1.1315501360014604</v>
      </c>
      <c r="M256" s="32">
        <f t="shared" si="51"/>
        <v>-1.3965315870552437</v>
      </c>
      <c r="N256" s="32">
        <f t="shared" si="51"/>
        <v>-1.965496957169619</v>
      </c>
      <c r="O256" s="32">
        <f t="shared" si="51"/>
        <v>-1.0084777483069152</v>
      </c>
      <c r="P256" s="32">
        <f t="shared" si="51"/>
        <v>-1.9528844069118991</v>
      </c>
      <c r="Q256" s="32">
        <f t="shared" si="51"/>
        <v>-0.79830159660788991</v>
      </c>
      <c r="R256" s="32">
        <f t="shared" si="51"/>
        <v>-1.9956848413221988</v>
      </c>
      <c r="S256" s="32">
        <f t="shared" si="51"/>
        <v>-1.0026383407657671</v>
      </c>
      <c r="T256" s="32">
        <f t="shared" si="51"/>
        <v>-2.3723029178253294</v>
      </c>
      <c r="U256" s="32">
        <f t="shared" si="51"/>
        <v>-1.4852173035929268</v>
      </c>
      <c r="V256" s="32">
        <f t="shared" si="51"/>
        <v>-1.579215783777032</v>
      </c>
      <c r="W256" s="32">
        <f t="shared" si="51"/>
        <v>-1.9394641553263665</v>
      </c>
      <c r="X256" s="32">
        <f t="shared" si="51"/>
        <v>-1.2762254950796346</v>
      </c>
      <c r="Y256" s="32">
        <f t="shared" si="51"/>
        <v>-1.4012767047829873</v>
      </c>
      <c r="Z256" s="32">
        <f t="shared" si="51"/>
        <v>-1.0861805559871274</v>
      </c>
      <c r="AA256" s="32">
        <f t="shared" si="51"/>
        <v>-1.249683415536244</v>
      </c>
      <c r="AB256" s="32">
        <f t="shared" si="51"/>
        <v>-0.94969484894018619</v>
      </c>
      <c r="AC256" s="32">
        <f t="shared" si="51"/>
        <v>-1.1916978898204027</v>
      </c>
      <c r="AD256" s="32">
        <f t="shared" si="51"/>
        <v>-0.89997261394889172</v>
      </c>
      <c r="AE256" s="32">
        <f t="shared" si="51"/>
        <v>-1.1804418291852685</v>
      </c>
      <c r="AF256" s="32">
        <f t="shared" si="51"/>
        <v>-1.0362088258312099</v>
      </c>
      <c r="AG256" s="32">
        <f t="shared" si="51"/>
        <v>-1.2011140259780928</v>
      </c>
      <c r="AH256" s="32">
        <f t="shared" si="51"/>
        <v>-1.1799227531263736</v>
      </c>
      <c r="AI256" s="32">
        <f t="shared" si="51"/>
        <v>-1.2496141757931878</v>
      </c>
      <c r="AJ256" s="32">
        <f t="shared" si="51"/>
        <v>-1.3315409110515319</v>
      </c>
      <c r="AK256" s="32">
        <f t="shared" si="51"/>
        <v>-1.3285471513517741</v>
      </c>
      <c r="AL256" s="32">
        <f t="shared" si="51"/>
        <v>-1.4897628043080438</v>
      </c>
      <c r="AM256" s="32">
        <f t="shared" si="51"/>
        <v>-1.449328184251127</v>
      </c>
      <c r="AN256" s="32">
        <f t="shared" si="51"/>
        <v>-1.6490810501028579</v>
      </c>
      <c r="AO256" s="32">
        <f t="shared" si="51"/>
        <v>-1.6457193392289802</v>
      </c>
      <c r="AP256" s="32">
        <f t="shared" si="51"/>
        <v>-1.7953919271820813</v>
      </c>
      <c r="AQ256" s="32">
        <f t="shared" si="51"/>
        <v>-2.0686143684778617</v>
      </c>
      <c r="AR256" s="32">
        <f t="shared" si="51"/>
        <v>-1.9026507661841974</v>
      </c>
      <c r="AS256" s="32">
        <f t="shared" si="51"/>
        <v>-2.1957105359724998</v>
      </c>
      <c r="AT256" s="32">
        <f t="shared" si="51"/>
        <v>-1.9423382812082501</v>
      </c>
      <c r="AU256" s="32">
        <f t="shared" si="51"/>
        <v>-1.9902777377731597</v>
      </c>
      <c r="AV256" s="32">
        <f t="shared" si="51"/>
        <v>-1.908957967699134</v>
      </c>
      <c r="AW256" s="32">
        <f t="shared" si="51"/>
        <v>-1.7115636433408163</v>
      </c>
      <c r="AX256" s="32">
        <f t="shared" si="51"/>
        <v>-1.8263828423800226</v>
      </c>
      <c r="AY256" s="32">
        <f t="shared" si="51"/>
        <v>-1.5796453018572796</v>
      </c>
      <c r="AZ256" s="32">
        <f t="shared" si="51"/>
        <v>-1.7237522155018821</v>
      </c>
      <c r="BA256" s="32">
        <f t="shared" si="51"/>
        <v>-1.5054854127983814</v>
      </c>
      <c r="BB256" s="32">
        <f t="shared" si="51"/>
        <v>-1.6192472928756594</v>
      </c>
      <c r="BC256" s="32">
        <f t="shared" si="51"/>
        <v>-1.4634463086894989</v>
      </c>
      <c r="BD256" s="32">
        <f t="shared" si="51"/>
        <v>-1.5208483088977449</v>
      </c>
      <c r="BE256" s="32">
        <f t="shared" si="51"/>
        <v>-1.4428149770959764</v>
      </c>
      <c r="BF256" s="32">
        <f t="shared" si="51"/>
        <v>-1.4310743969828068</v>
      </c>
      <c r="BG256" s="32">
        <f t="shared" si="51"/>
        <v>-1.438393550488382</v>
      </c>
      <c r="BH256" s="32">
        <f t="shared" si="51"/>
        <v>-1.3501010585878144</v>
      </c>
      <c r="BI256" s="32">
        <f t="shared" si="51"/>
        <v>-1.4476284946434193</v>
      </c>
      <c r="BJ256" s="32">
        <f t="shared" si="51"/>
        <v>-1.2772427173508396</v>
      </c>
      <c r="BK256" s="32">
        <f t="shared" si="51"/>
        <v>-1.4695599431693829</v>
      </c>
      <c r="BL256" s="32">
        <f t="shared" si="51"/>
        <v>-1.2119361348275124</v>
      </c>
      <c r="BM256" s="32">
        <f t="shared" si="51"/>
        <v>-1.5044811540488223</v>
      </c>
      <c r="BN256" s="32">
        <f t="shared" si="51"/>
        <v>-1.3025931095298566</v>
      </c>
      <c r="BO256" s="32">
        <f t="shared" si="51"/>
        <v>-1.5540277438742767</v>
      </c>
      <c r="BP256" s="32">
        <f t="shared" si="51"/>
        <v>-1.3997572571677397</v>
      </c>
      <c r="BQ256" s="32">
        <f t="shared" ref="BQ256:CX256" si="52">LOG(ABS(BQ254-$D258))</f>
        <v>-1.6217659420372534</v>
      </c>
      <c r="BR256" s="32">
        <f t="shared" si="52"/>
        <v>-1.5049154248983057</v>
      </c>
      <c r="BS256" s="32">
        <f t="shared" si="52"/>
        <v>-1.714807241771741</v>
      </c>
      <c r="BT256" s="32">
        <f t="shared" si="52"/>
        <v>-1.6200907086611307</v>
      </c>
      <c r="BU256" s="32">
        <f t="shared" si="52"/>
        <v>-1.8484655556929068</v>
      </c>
      <c r="BV256" s="32">
        <f t="shared" si="52"/>
        <v>-1.7481498086366791</v>
      </c>
      <c r="BW256" s="32">
        <f t="shared" si="52"/>
        <v>-2.0639909408988597</v>
      </c>
      <c r="BX256" s="32">
        <f t="shared" si="52"/>
        <v>-1.8933745375920603</v>
      </c>
      <c r="BY256" s="32">
        <f t="shared" si="52"/>
        <v>-2.5679747735680061</v>
      </c>
      <c r="BZ256" s="32">
        <f t="shared" si="52"/>
        <v>-2.0626374592417944</v>
      </c>
      <c r="CA256" s="32">
        <f t="shared" si="52"/>
        <v>-2.4494803663012736</v>
      </c>
      <c r="CB256" s="32">
        <f t="shared" si="52"/>
        <v>-2.2681944099528795</v>
      </c>
      <c r="CC256" s="32">
        <f t="shared" si="52"/>
        <v>-1.9958686422721932</v>
      </c>
      <c r="CD256" s="32">
        <f t="shared" si="52"/>
        <v>-2.5359867689042921</v>
      </c>
      <c r="CE256" s="32">
        <f t="shared" si="52"/>
        <v>-1.7724566549970517</v>
      </c>
      <c r="CF256" s="32">
        <f t="shared" si="52"/>
        <v>-2.9431409367520116</v>
      </c>
      <c r="CG256" s="32">
        <f t="shared" si="52"/>
        <v>-1.6217622820944273</v>
      </c>
      <c r="CH256" s="32">
        <f t="shared" si="52"/>
        <v>-4.8064903268720451</v>
      </c>
      <c r="CI256" s="32">
        <f t="shared" si="52"/>
        <v>-1.5663456797608577</v>
      </c>
      <c r="CJ256" s="32">
        <f t="shared" si="52"/>
        <v>-3.2839777476431475</v>
      </c>
      <c r="CK256" s="32">
        <f t="shared" si="52"/>
        <v>-1.665454617504281</v>
      </c>
      <c r="CL256" s="32">
        <f t="shared" si="52"/>
        <v>-3.2844265397058416</v>
      </c>
      <c r="CM256" s="32">
        <f t="shared" si="52"/>
        <v>-1.7750644076168853</v>
      </c>
      <c r="CN256" s="32">
        <f t="shared" si="52"/>
        <v>-4.5190734696818113</v>
      </c>
      <c r="CO256" s="32">
        <f t="shared" si="52"/>
        <v>-1.8985566121574691</v>
      </c>
      <c r="CP256" s="32">
        <f t="shared" si="52"/>
        <v>-3.0435498980412836</v>
      </c>
      <c r="CQ256" s="32">
        <f t="shared" si="52"/>
        <v>-2.0413692035298165</v>
      </c>
      <c r="CR256" s="32">
        <f t="shared" si="52"/>
        <v>-2.64859491027108</v>
      </c>
      <c r="CS256" s="32">
        <f t="shared" si="52"/>
        <v>-2.2132191404558696</v>
      </c>
      <c r="CT256" s="32">
        <f t="shared" si="52"/>
        <v>-2.4024839675006335</v>
      </c>
      <c r="CU256" s="32">
        <f t="shared" si="52"/>
        <v>-2.4346099500385558</v>
      </c>
      <c r="CV256" s="32">
        <f t="shared" si="52"/>
        <v>-2.22116813765563</v>
      </c>
      <c r="CW256" s="32">
        <f t="shared" si="52"/>
        <v>-2.764509247618697</v>
      </c>
      <c r="CX256" s="32">
        <f t="shared" si="52"/>
        <v>-2.0772940273831946</v>
      </c>
      <c r="CY256" s="32"/>
      <c r="CZ256" s="32"/>
      <c r="DA256" s="32"/>
      <c r="DB256" s="32"/>
      <c r="DC256" s="32"/>
      <c r="DD256" s="32"/>
      <c r="DE256" s="32"/>
      <c r="DF256" s="32"/>
      <c r="DG256" s="32"/>
    </row>
    <row r="257" spans="3:111" ht="20.350000000000001" customHeight="1" x14ac:dyDescent="0.45">
      <c r="C257" s="47" t="s">
        <v>51</v>
      </c>
      <c r="D257" s="32">
        <f>LOG(ABS(D255-$D259))</f>
        <v>-2.3270827359850381</v>
      </c>
      <c r="E257" s="32">
        <f t="shared" ref="E257:BP257" si="53">LOG(ABS(E255-$D259))</f>
        <v>-1.6524463245069128</v>
      </c>
      <c r="F257" s="32">
        <f t="shared" si="53"/>
        <v>-1.9339403255934098</v>
      </c>
      <c r="G257" s="32">
        <f t="shared" si="53"/>
        <v>-2.430158710032853</v>
      </c>
      <c r="H257" s="32">
        <f t="shared" si="53"/>
        <v>-1.7560294596184909</v>
      </c>
      <c r="I257" s="32">
        <f t="shared" si="53"/>
        <v>-2.6194208190291248</v>
      </c>
      <c r="J257" s="32">
        <f t="shared" si="53"/>
        <v>-1.9831682174908167</v>
      </c>
      <c r="K257" s="32">
        <f t="shared" si="53"/>
        <v>-2.3997431299778764</v>
      </c>
      <c r="L257" s="32">
        <f t="shared" si="53"/>
        <v>-2.5078358289860891</v>
      </c>
      <c r="M257" s="32">
        <f t="shared" si="53"/>
        <v>-2.2203873089391943</v>
      </c>
      <c r="N257" s="32">
        <f t="shared" si="53"/>
        <v>-3.5711934567748598</v>
      </c>
      <c r="O257" s="32">
        <f t="shared" si="53"/>
        <v>-2.0988190319768947</v>
      </c>
      <c r="P257" s="32">
        <f t="shared" si="53"/>
        <v>-3.2561744904888243</v>
      </c>
      <c r="Q257" s="32">
        <f t="shared" si="53"/>
        <v>-2.0133013118512708</v>
      </c>
      <c r="R257" s="32">
        <f t="shared" si="53"/>
        <v>-3.3880378454294791</v>
      </c>
      <c r="S257" s="32">
        <f t="shared" si="53"/>
        <v>-2.1645565610185185</v>
      </c>
      <c r="T257" s="32">
        <f t="shared" si="53"/>
        <v>-3.6757681259861124</v>
      </c>
      <c r="U257" s="32">
        <f t="shared" si="53"/>
        <v>-2.3842868223705875</v>
      </c>
      <c r="V257" s="32">
        <f t="shared" si="53"/>
        <v>-2.9752533011980389</v>
      </c>
      <c r="W257" s="32">
        <f t="shared" si="53"/>
        <v>-2.6068096885692755</v>
      </c>
      <c r="X257" s="32">
        <f t="shared" si="53"/>
        <v>-2.6981046759612162</v>
      </c>
      <c r="Y257" s="32">
        <f t="shared" si="53"/>
        <v>-2.8185394689608474</v>
      </c>
      <c r="Z257" s="32">
        <f t="shared" si="53"/>
        <v>-2.5261795961849218</v>
      </c>
      <c r="AA257" s="32">
        <f t="shared" si="53"/>
        <v>-2.9849466524091115</v>
      </c>
      <c r="AB257" s="32">
        <f t="shared" si="53"/>
        <v>-2.404418888021377</v>
      </c>
      <c r="AC257" s="32">
        <f t="shared" si="53"/>
        <v>-3.0592579378734994</v>
      </c>
      <c r="AD257" s="32">
        <f t="shared" si="53"/>
        <v>-2.373905319094908</v>
      </c>
      <c r="AE257" s="32">
        <f t="shared" si="53"/>
        <v>-3.031615418954035</v>
      </c>
      <c r="AF257" s="32">
        <f t="shared" si="53"/>
        <v>-2.5553987365763096</v>
      </c>
      <c r="AG257" s="32">
        <f t="shared" si="53"/>
        <v>-2.9435606876414284</v>
      </c>
      <c r="AH257" s="32">
        <f t="shared" si="53"/>
        <v>-2.7593427491568754</v>
      </c>
      <c r="AI257" s="32">
        <f t="shared" si="53"/>
        <v>-2.8380585881026734</v>
      </c>
      <c r="AJ257" s="32">
        <f t="shared" si="53"/>
        <v>-2.997959587974242</v>
      </c>
      <c r="AK257" s="32">
        <f t="shared" si="53"/>
        <v>-2.7361737802533996</v>
      </c>
      <c r="AL257" s="32">
        <f t="shared" si="53"/>
        <v>-3.2953798489448767</v>
      </c>
      <c r="AM257" s="32">
        <f t="shared" si="53"/>
        <v>-2.6446051657237128</v>
      </c>
      <c r="AN257" s="32">
        <f t="shared" si="53"/>
        <v>-3.7141150668644229</v>
      </c>
      <c r="AO257" s="32">
        <f t="shared" si="53"/>
        <v>-2.5642192909877624</v>
      </c>
      <c r="AP257" s="32">
        <f t="shared" si="53"/>
        <v>-4.6169067013029137</v>
      </c>
      <c r="AQ257" s="32">
        <f t="shared" si="53"/>
        <v>-2.4940069574122545</v>
      </c>
      <c r="AR257" s="32">
        <f t="shared" si="53"/>
        <v>-4.5012740763580048</v>
      </c>
      <c r="AS257" s="32">
        <f t="shared" si="53"/>
        <v>-2.4325416086133842</v>
      </c>
      <c r="AT257" s="32">
        <f t="shared" si="53"/>
        <v>-5.7290290837757727</v>
      </c>
      <c r="AU257" s="32">
        <f t="shared" si="53"/>
        <v>-2.5410825330552598</v>
      </c>
      <c r="AV257" s="32">
        <f t="shared" si="53"/>
        <v>-3.977273368018488</v>
      </c>
      <c r="AW257" s="32">
        <f t="shared" si="53"/>
        <v>-2.6631741189493039</v>
      </c>
      <c r="AX257" s="32">
        <f t="shared" si="53"/>
        <v>-3.578374832902623</v>
      </c>
      <c r="AY257" s="32">
        <f t="shared" si="53"/>
        <v>-2.7925371286992458</v>
      </c>
      <c r="AZ257" s="32">
        <f t="shared" si="53"/>
        <v>-3.3317074106246025</v>
      </c>
      <c r="BA257" s="32">
        <f t="shared" si="53"/>
        <v>-2.9299504943742156</v>
      </c>
      <c r="BB257" s="32">
        <f t="shared" si="53"/>
        <v>-3.1539436668125944</v>
      </c>
      <c r="BC257" s="32">
        <f t="shared" si="53"/>
        <v>-3.0754545492238377</v>
      </c>
      <c r="BD257" s="32">
        <f t="shared" si="53"/>
        <v>-3.0162173169940178</v>
      </c>
      <c r="BE257" s="32">
        <f t="shared" si="53"/>
        <v>-3.2270980458685061</v>
      </c>
      <c r="BF257" s="32">
        <f t="shared" si="53"/>
        <v>-2.9047675901476802</v>
      </c>
      <c r="BG257" s="32">
        <f t="shared" si="53"/>
        <v>-3.3782943707095612</v>
      </c>
      <c r="BH257" s="32">
        <f t="shared" si="53"/>
        <v>-2.8118857893668383</v>
      </c>
      <c r="BI257" s="32">
        <f t="shared" si="53"/>
        <v>-3.5135772818831028</v>
      </c>
      <c r="BJ257" s="32">
        <f t="shared" si="53"/>
        <v>-2.7327997955567307</v>
      </c>
      <c r="BK257" s="32">
        <f t="shared" si="53"/>
        <v>-3.6066832797256398</v>
      </c>
      <c r="BL257" s="32">
        <f t="shared" si="53"/>
        <v>-2.6647335835176484</v>
      </c>
      <c r="BM257" s="32">
        <f t="shared" si="53"/>
        <v>-3.6323471233294327</v>
      </c>
      <c r="BN257" s="32">
        <f t="shared" si="53"/>
        <v>-2.7661770559330967</v>
      </c>
      <c r="BO257" s="32">
        <f t="shared" si="53"/>
        <v>-3.5897221711692997</v>
      </c>
      <c r="BP257" s="32">
        <f t="shared" si="53"/>
        <v>-2.8742190087353467</v>
      </c>
      <c r="BQ257" s="32">
        <f t="shared" ref="BQ257:CX257" si="54">LOG(ABS(BQ255-$D259))</f>
        <v>-3.5033660144254188</v>
      </c>
      <c r="BR257" s="32">
        <f t="shared" si="54"/>
        <v>-2.9900709498835756</v>
      </c>
      <c r="BS257" s="32">
        <f t="shared" si="54"/>
        <v>-3.4000637252490837</v>
      </c>
      <c r="BT257" s="32">
        <f t="shared" si="54"/>
        <v>-3.1151264198274138</v>
      </c>
      <c r="BU257" s="32">
        <f t="shared" si="54"/>
        <v>-3.2959859868984216</v>
      </c>
      <c r="BV257" s="32">
        <f t="shared" si="54"/>
        <v>-3.2508611873751985</v>
      </c>
      <c r="BW257" s="32">
        <f t="shared" si="54"/>
        <v>-3.1981797377639039</v>
      </c>
      <c r="BX257" s="32">
        <f t="shared" si="54"/>
        <v>-3.3984629353111919</v>
      </c>
      <c r="BY257" s="32">
        <f t="shared" si="54"/>
        <v>-3.1088557498292073</v>
      </c>
      <c r="BZ257" s="32">
        <f t="shared" si="54"/>
        <v>-3.5577206991625303</v>
      </c>
      <c r="CA257" s="32">
        <f t="shared" si="54"/>
        <v>-3.0281322781372455</v>
      </c>
      <c r="CB257" s="32">
        <f t="shared" si="54"/>
        <v>-3.7240436439585838</v>
      </c>
      <c r="CC257" s="32">
        <f t="shared" si="54"/>
        <v>-2.9553479075755429</v>
      </c>
      <c r="CD257" s="32">
        <f t="shared" si="54"/>
        <v>-3.8817994430781533</v>
      </c>
      <c r="CE257" s="32">
        <f t="shared" si="54"/>
        <v>-2.8896227863351998</v>
      </c>
      <c r="CF257" s="32">
        <f t="shared" si="54"/>
        <v>-3.996178982322562</v>
      </c>
      <c r="CG257" s="32">
        <f t="shared" si="54"/>
        <v>-2.8300814285978295</v>
      </c>
      <c r="CH257" s="32">
        <f t="shared" si="54"/>
        <v>-4.0245243940263382</v>
      </c>
      <c r="CI257" s="32">
        <f t="shared" si="54"/>
        <v>-2.8165311204546484</v>
      </c>
      <c r="CJ257" s="32">
        <f t="shared" si="54"/>
        <v>-3.9608448242082739</v>
      </c>
      <c r="CK257" s="32">
        <f t="shared" si="54"/>
        <v>-2.9045528226281396</v>
      </c>
      <c r="CL257" s="32">
        <f t="shared" si="54"/>
        <v>-3.8439145319165826</v>
      </c>
      <c r="CM257" s="32">
        <f t="shared" si="54"/>
        <v>-2.9986482471846991</v>
      </c>
      <c r="CN257" s="32">
        <f t="shared" si="54"/>
        <v>-3.7126330913570222</v>
      </c>
      <c r="CO257" s="32">
        <f t="shared" si="54"/>
        <v>-3.1000604674414936</v>
      </c>
      <c r="CP257" s="32">
        <f t="shared" si="54"/>
        <v>-3.5863495131157856</v>
      </c>
      <c r="CQ257" s="32">
        <f t="shared" si="54"/>
        <v>-3.2104193592520485</v>
      </c>
      <c r="CR257" s="32">
        <f t="shared" si="54"/>
        <v>-3.471386354236544</v>
      </c>
      <c r="CS257" s="32">
        <f t="shared" si="54"/>
        <v>-3.3319186895908603</v>
      </c>
      <c r="CT257" s="32">
        <f t="shared" si="54"/>
        <v>-3.3685947816865238</v>
      </c>
      <c r="CU257" s="32">
        <f t="shared" si="54"/>
        <v>-3.4676029457675952</v>
      </c>
      <c r="CV257" s="32">
        <f t="shared" si="54"/>
        <v>-3.2769910391327359</v>
      </c>
      <c r="CW257" s="32">
        <f t="shared" si="54"/>
        <v>-3.6218505683533571</v>
      </c>
      <c r="CX257" s="32">
        <f t="shared" si="54"/>
        <v>-3.1951496347438715</v>
      </c>
      <c r="CY257" s="32"/>
      <c r="CZ257" s="32"/>
      <c r="DA257" s="32"/>
      <c r="DB257" s="32"/>
      <c r="DC257" s="32"/>
      <c r="DD257" s="32"/>
      <c r="DE257" s="32"/>
      <c r="DF257" s="32"/>
      <c r="DG257" s="32"/>
    </row>
    <row r="258" spans="3:111" ht="20.350000000000001" customHeight="1" x14ac:dyDescent="0.45">
      <c r="C258" s="47" t="s">
        <v>64</v>
      </c>
      <c r="D258" s="32">
        <f>C124*(_xlfn.NORM.S.DIST(-H250,TRUE)-_xlfn.NORM.S.DIST(-H251,TRUE))
 +EXP(-C125*C127)*
   (C130*_xlfn.NORM.S.DIST(-(H251-C126*SQRT(C127)),TRUE)
   -C128*_xlfn.NORM.S.DIST(-(H250-C126*SQRT(C127)),TRUE))</f>
        <v>11.821482334389543</v>
      </c>
      <c r="E258" s="32">
        <f>D258</f>
        <v>11.821482334389543</v>
      </c>
      <c r="F258" s="32">
        <f>D259</f>
        <v>-0.34963901327049196</v>
      </c>
      <c r="G258" s="32"/>
      <c r="H258" s="32"/>
      <c r="I258" s="32"/>
      <c r="J258" s="32"/>
      <c r="K258" s="32"/>
      <c r="L258" s="32"/>
      <c r="M258" s="32"/>
      <c r="N258" s="32"/>
      <c r="O258" s="32"/>
      <c r="P258" s="32"/>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c r="AP258" s="32"/>
      <c r="AQ258" s="32"/>
      <c r="AR258" s="32"/>
      <c r="AS258" s="32"/>
      <c r="AT258" s="32"/>
      <c r="AU258" s="32"/>
      <c r="AV258" s="32"/>
      <c r="AW258" s="32"/>
      <c r="AX258" s="32"/>
      <c r="AY258" s="32"/>
      <c r="AZ258" s="32"/>
      <c r="BA258" s="32"/>
      <c r="BB258" s="32"/>
      <c r="BC258" s="32"/>
      <c r="BD258" s="32"/>
      <c r="BE258" s="32"/>
      <c r="BF258" s="32"/>
      <c r="BG258" s="32"/>
      <c r="BH258" s="32"/>
      <c r="BI258" s="32"/>
      <c r="BJ258" s="32"/>
      <c r="BK258" s="32"/>
      <c r="BL258" s="32"/>
      <c r="BM258" s="32"/>
      <c r="BN258" s="32"/>
      <c r="BO258" s="32"/>
      <c r="BP258" s="32"/>
      <c r="BQ258" s="32"/>
      <c r="BR258" s="32"/>
      <c r="BS258" s="32"/>
      <c r="BT258" s="32"/>
      <c r="BU258" s="32"/>
      <c r="BV258" s="32"/>
      <c r="BW258" s="32"/>
      <c r="BX258" s="32"/>
      <c r="BY258" s="32"/>
      <c r="BZ258" s="32"/>
      <c r="CA258" s="32"/>
      <c r="CB258" s="32"/>
      <c r="CC258" s="32"/>
      <c r="CD258" s="32"/>
      <c r="CE258" s="32"/>
      <c r="CF258" s="32"/>
      <c r="CG258" s="32"/>
      <c r="CH258" s="32"/>
      <c r="CI258" s="32"/>
      <c r="CJ258" s="32"/>
      <c r="CK258" s="32"/>
      <c r="CL258" s="32"/>
      <c r="CM258" s="32"/>
      <c r="CN258" s="32"/>
      <c r="CO258" s="32"/>
      <c r="CP258" s="32"/>
      <c r="CQ258" s="32"/>
      <c r="CR258" s="32"/>
      <c r="CS258" s="32"/>
      <c r="CT258" s="32"/>
      <c r="CU258" s="32"/>
      <c r="CV258" s="32"/>
      <c r="CW258" s="32"/>
      <c r="CX258" s="32"/>
      <c r="CY258" s="32"/>
      <c r="CZ258" s="32"/>
      <c r="DA258" s="32"/>
      <c r="DB258" s="32"/>
      <c r="DC258" s="32"/>
      <c r="DD258" s="32"/>
      <c r="DE258" s="32"/>
      <c r="DF258" s="32"/>
      <c r="DG258" s="32"/>
    </row>
    <row r="259" spans="3:111" ht="20.350000000000001" customHeight="1" x14ac:dyDescent="0.45">
      <c r="C259" s="47" t="s">
        <v>59</v>
      </c>
      <c r="D259" s="32">
        <f>_xlfn.NORM.S.DIST(-H250,TRUE)-_xlfn.NORM.S.DIST(-H251,TRUE)</f>
        <v>-0.34963901327049196</v>
      </c>
      <c r="E259" s="32">
        <f>D258</f>
        <v>11.821482334389543</v>
      </c>
      <c r="F259" s="32">
        <f>D259</f>
        <v>-0.34963901327049196</v>
      </c>
      <c r="G259" s="32"/>
      <c r="H259" s="32"/>
      <c r="I259" s="32"/>
      <c r="J259" s="32"/>
      <c r="K259" s="32"/>
      <c r="L259" s="32"/>
      <c r="M259" s="32"/>
      <c r="N259" s="32"/>
      <c r="O259" s="32"/>
      <c r="P259" s="32"/>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c r="AP259" s="32"/>
      <c r="AQ259" s="32"/>
      <c r="AR259" s="32"/>
      <c r="AS259" s="32"/>
      <c r="AT259" s="32"/>
      <c r="AU259" s="32"/>
      <c r="AV259" s="32"/>
      <c r="AW259" s="32"/>
      <c r="AX259" s="32"/>
      <c r="AY259" s="32"/>
      <c r="AZ259" s="32"/>
      <c r="BA259" s="32"/>
      <c r="BB259" s="32"/>
      <c r="BC259" s="32"/>
      <c r="BD259" s="32"/>
      <c r="BE259" s="32"/>
      <c r="BF259" s="32"/>
      <c r="BG259" s="32"/>
      <c r="BH259" s="32"/>
      <c r="BI259" s="32"/>
      <c r="BJ259" s="32"/>
      <c r="BK259" s="32"/>
      <c r="BL259" s="32"/>
      <c r="BM259" s="32"/>
      <c r="BN259" s="32"/>
      <c r="BO259" s="32"/>
      <c r="BP259" s="32"/>
      <c r="BQ259" s="32"/>
      <c r="BR259" s="32"/>
      <c r="BS259" s="32"/>
      <c r="BT259" s="32"/>
      <c r="BU259" s="32"/>
      <c r="BV259" s="32"/>
      <c r="BW259" s="32"/>
      <c r="BX259" s="32"/>
      <c r="BY259" s="32"/>
      <c r="BZ259" s="32"/>
      <c r="CA259" s="32"/>
      <c r="CB259" s="32"/>
      <c r="CC259" s="32"/>
      <c r="CD259" s="32"/>
      <c r="CE259" s="32"/>
      <c r="CF259" s="32"/>
      <c r="CG259" s="32"/>
      <c r="CH259" s="32"/>
      <c r="CI259" s="32"/>
      <c r="CJ259" s="32"/>
      <c r="CK259" s="32"/>
      <c r="CL259" s="32"/>
      <c r="CM259" s="32"/>
      <c r="CN259" s="32"/>
      <c r="CO259" s="32"/>
      <c r="CP259" s="32"/>
      <c r="CQ259" s="32"/>
      <c r="CR259" s="32"/>
      <c r="CS259" s="32"/>
      <c r="CT259" s="32"/>
      <c r="CU259" s="32"/>
      <c r="CV259" s="32"/>
      <c r="CW259" s="32"/>
      <c r="CX259" s="32"/>
      <c r="CY259" s="32"/>
      <c r="CZ259" s="32"/>
      <c r="DA259" s="32"/>
      <c r="DB259" s="32"/>
      <c r="DC259" s="32"/>
      <c r="DD259" s="32"/>
      <c r="DE259" s="32"/>
      <c r="DF259" s="32"/>
      <c r="DG259" s="32"/>
    </row>
    <row r="260" spans="3:111" ht="20.350000000000001" customHeight="1" x14ac:dyDescent="0.45">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c r="AP260" s="32"/>
      <c r="AQ260" s="32"/>
      <c r="AR260" s="32"/>
      <c r="AS260" s="32"/>
      <c r="AT260" s="32"/>
      <c r="AU260" s="32"/>
      <c r="AV260" s="32"/>
      <c r="AW260" s="32"/>
      <c r="AX260" s="32"/>
      <c r="AY260" s="32"/>
      <c r="AZ260" s="32"/>
      <c r="BA260" s="32"/>
      <c r="BB260" s="32"/>
      <c r="BC260" s="32"/>
      <c r="BD260" s="32"/>
      <c r="BE260" s="32"/>
      <c r="BF260" s="32"/>
      <c r="BG260" s="32"/>
      <c r="BH260" s="32"/>
      <c r="BI260" s="32"/>
      <c r="BJ260" s="32"/>
      <c r="BK260" s="32"/>
      <c r="BL260" s="32"/>
      <c r="BM260" s="32"/>
      <c r="BN260" s="32"/>
      <c r="BO260" s="32"/>
      <c r="BP260" s="32"/>
      <c r="BQ260" s="32"/>
      <c r="BR260" s="32"/>
      <c r="BS260" s="32"/>
      <c r="BT260" s="32"/>
      <c r="BU260" s="32"/>
      <c r="BV260" s="32"/>
      <c r="BW260" s="32"/>
      <c r="BX260" s="32"/>
      <c r="BY260" s="32"/>
      <c r="BZ260" s="32"/>
      <c r="CA260" s="32"/>
      <c r="CB260" s="32"/>
      <c r="CC260" s="32"/>
      <c r="CD260" s="32"/>
      <c r="CE260" s="32"/>
      <c r="CF260" s="32"/>
      <c r="CG260" s="32"/>
      <c r="CH260" s="32"/>
      <c r="CI260" s="32"/>
      <c r="CJ260" s="32"/>
      <c r="CK260" s="32"/>
      <c r="CL260" s="32"/>
      <c r="CM260" s="32"/>
      <c r="CN260" s="32"/>
      <c r="CO260" s="32"/>
      <c r="CP260" s="32"/>
      <c r="CQ260" s="32"/>
      <c r="CR260" s="32"/>
      <c r="CS260" s="32"/>
      <c r="CT260" s="32"/>
      <c r="CU260" s="32"/>
      <c r="CV260" s="32"/>
      <c r="CW260" s="32"/>
      <c r="CX260" s="32"/>
      <c r="CY260" s="32"/>
      <c r="CZ260" s="32"/>
      <c r="DA260" s="32"/>
      <c r="DB260" s="32"/>
      <c r="DC260" s="32"/>
      <c r="DD260" s="32"/>
      <c r="DE260" s="32"/>
      <c r="DF260" s="32"/>
      <c r="DG260" s="32"/>
    </row>
    <row r="261" spans="3:111" ht="20.350000000000001" customHeight="1" x14ac:dyDescent="0.45">
      <c r="C261" s="47" t="s">
        <v>69</v>
      </c>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c r="AP261" s="32"/>
      <c r="AQ261" s="32"/>
      <c r="AR261" s="32"/>
      <c r="AS261" s="32"/>
      <c r="AT261" s="32"/>
      <c r="AU261" s="32"/>
      <c r="AV261" s="32"/>
      <c r="AW261" s="32"/>
      <c r="AX261" s="32"/>
      <c r="AY261" s="32"/>
      <c r="AZ261" s="32"/>
      <c r="BA261" s="32"/>
      <c r="BB261" s="32"/>
      <c r="BC261" s="32"/>
      <c r="BD261" s="32"/>
      <c r="BE261" s="32"/>
      <c r="BF261" s="32"/>
      <c r="BG261" s="32"/>
      <c r="BH261" s="32"/>
      <c r="BI261" s="32"/>
      <c r="BJ261" s="32"/>
      <c r="BK261" s="32"/>
      <c r="BL261" s="32"/>
      <c r="BM261" s="32"/>
      <c r="BN261" s="32"/>
      <c r="BO261" s="32"/>
      <c r="BP261" s="32"/>
      <c r="BQ261" s="32"/>
      <c r="BR261" s="32"/>
      <c r="BS261" s="32"/>
      <c r="BT261" s="32"/>
      <c r="BU261" s="32"/>
      <c r="BV261" s="32"/>
      <c r="BW261" s="32"/>
      <c r="BX261" s="32"/>
      <c r="BY261" s="32"/>
      <c r="BZ261" s="32"/>
      <c r="CA261" s="32"/>
      <c r="CB261" s="32"/>
      <c r="CC261" s="32"/>
      <c r="CD261" s="32"/>
      <c r="CE261" s="32"/>
      <c r="CF261" s="32"/>
      <c r="CG261" s="32"/>
      <c r="CH261" s="32"/>
      <c r="CI261" s="32"/>
      <c r="CJ261" s="32"/>
      <c r="CK261" s="32"/>
      <c r="CL261" s="32"/>
      <c r="CM261" s="32"/>
      <c r="CN261" s="32"/>
      <c r="CO261" s="32"/>
      <c r="CP261" s="32"/>
      <c r="CQ261" s="32"/>
      <c r="CR261" s="32"/>
      <c r="CS261" s="32"/>
      <c r="CT261" s="32"/>
      <c r="CU261" s="32"/>
      <c r="CV261" s="32"/>
      <c r="CW261" s="32"/>
      <c r="CX261" s="32"/>
      <c r="CY261" s="32"/>
      <c r="CZ261" s="32"/>
      <c r="DA261" s="32"/>
      <c r="DB261" s="32"/>
      <c r="DC261" s="32"/>
      <c r="DD261" s="32"/>
      <c r="DE261" s="32"/>
      <c r="DF261" s="32"/>
      <c r="DG261" s="32"/>
    </row>
    <row r="262" spans="3:111" ht="20.350000000000001" customHeight="1" x14ac:dyDescent="0.45">
      <c r="C262" s="47" t="s">
        <v>38</v>
      </c>
      <c r="D262" s="32" cm="1">
        <f t="array" ref="D262">StranglePrice($C124,$C125,$C126,$C127,D175,$C128,$C130)</f>
        <v>9.0381335056030725</v>
      </c>
      <c r="E262" s="32" cm="1">
        <f t="array" ref="E262">StranglePrice($C124,$C125,$C126,$C127,E175,$C128,$C130)</f>
        <v>9.049603503357293</v>
      </c>
      <c r="F262" s="32" cm="1">
        <f t="array" ref="F262">StranglePrice($C124,$C125,$C126,$C127,F175,$C128,$C130)</f>
        <v>8.8196171782747488</v>
      </c>
      <c r="G262" s="32" cm="1">
        <f t="array" ref="G262">StranglePrice($C124,$C125,$C126,$C127,G175,$C128,$C130)</f>
        <v>9.1972147191017868</v>
      </c>
      <c r="H262" s="32" cm="1">
        <f t="array" ref="H262">StranglePrice($C124,$C125,$C126,$C127,H175,$C128,$C130)</f>
        <v>8.575492555004546</v>
      </c>
      <c r="I262" s="32" cm="1">
        <f t="array" ref="I262">StranglePrice($C124,$C125,$C126,$C127,I175,$C128,$C130)</f>
        <v>9.1281980415436124</v>
      </c>
      <c r="J262" s="32" cm="1">
        <f t="array" ref="J262">StranglePrice($C124,$C125,$C126,$C127,J175,$C128,$C130)</f>
        <v>8.6694883499945092</v>
      </c>
      <c r="K262" s="32" cm="1">
        <f t="array" ref="K262">StranglePrice($C124,$C125,$C126,$C127,K175,$C128,$C130)</f>
        <v>9.0190325135600915</v>
      </c>
      <c r="L262" s="32" cm="1">
        <f t="array" ref="L262">StranglePrice($C124,$C125,$C126,$C127,L175,$C128,$C130)</f>
        <v>8.8399103586792993</v>
      </c>
      <c r="M262" s="32" cm="1">
        <f t="array" ref="M262">StranglePrice($C124,$C125,$C126,$C127,M175,$C128,$C130)</f>
        <v>8.9075812198800985</v>
      </c>
      <c r="N262" s="32" cm="1">
        <f t="array" ref="N262">StranglePrice($C124,$C125,$C126,$C127,N175,$C128,$C130)</f>
        <v>8.9170921010478761</v>
      </c>
      <c r="O262" s="32" cm="1">
        <f t="array" ref="O262">StranglePrice($C124,$C125,$C126,$C127,O175,$C128,$C130)</f>
        <v>8.8034011388252651</v>
      </c>
      <c r="P262" s="32" cm="1">
        <f t="array" ref="P262">StranglePrice($C124,$C125,$C126,$C127,P175,$C128,$C130)</f>
        <v>8.945203247384562</v>
      </c>
      <c r="Q262" s="32" cm="1">
        <f t="array" ref="Q262">StranglePrice($C124,$C125,$C126,$C127,Q175,$C128,$C130)</f>
        <v>8.7084960474193149</v>
      </c>
      <c r="R262" s="32" cm="1">
        <f t="array" ref="R262">StranglePrice($C124,$C125,$C126,$C127,R175,$C128,$C130)</f>
        <v>8.9459942298409487</v>
      </c>
      <c r="S262" s="32" cm="1">
        <f t="array" ref="S262">StranglePrice($C124,$C125,$C126,$C127,S175,$C128,$C130)</f>
        <v>8.7423493315742267</v>
      </c>
      <c r="T262" s="32" cm="1">
        <f t="array" ref="T262">StranglePrice($C124,$C125,$C126,$C127,T175,$C128,$C130)</f>
        <v>8.9310610013919494</v>
      </c>
      <c r="U262" s="32" cm="1">
        <f t="array" ref="U262">StranglePrice($C124,$C125,$C126,$C127,U175,$C128,$C130)</f>
        <v>8.7886286496253625</v>
      </c>
      <c r="V262" s="32" cm="1">
        <f t="array" ref="V262">StranglePrice($C124,$C125,$C126,$C127,V175,$C128,$C130)</f>
        <v>8.9069565530505042</v>
      </c>
      <c r="W262" s="32" cm="1">
        <f t="array" ref="W262">StranglePrice($C124,$C125,$C126,$C127,W175,$C128,$C130)</f>
        <v>8.8163439339532204</v>
      </c>
      <c r="X262" s="32" cm="1">
        <f t="array" ref="X262">StranglePrice($C124,$C125,$C126,$C127,X175,$C128,$C130)</f>
        <v>8.8775485303311275</v>
      </c>
      <c r="Y262" s="32" cm="1">
        <f t="array" ref="Y262">StranglePrice($C124,$C125,$C126,$C127,Y175,$C128,$C130)</f>
        <v>8.8309230187445014</v>
      </c>
      <c r="Z262" s="32" cm="1">
        <f t="array" ref="Z262">StranglePrice($C124,$C125,$C126,$C127,Z175,$C128,$C130)</f>
        <v>8.845194720939995</v>
      </c>
      <c r="AA262" s="32" cm="1">
        <f t="array" ref="AA262">StranglePrice($C124,$C125,$C126,$C127,AA175,$C128,$C130)</f>
        <v>8.8360713748329172</v>
      </c>
      <c r="AB262" s="32" cm="1">
        <f t="array" ref="AB262">StranglePrice($C124,$C125,$C126,$C127,AB175,$C128,$C130)</f>
        <v>8.8113664385899835</v>
      </c>
      <c r="AC262" s="32" cm="1">
        <f t="array" ref="AC262">StranglePrice($C124,$C125,$C126,$C127,AC175,$C128,$C130)</f>
        <v>8.8343758004475479</v>
      </c>
      <c r="AD262" s="32" cm="1">
        <f t="array" ref="AD262">StranglePrice($C124,$C125,$C126,$C127,AD175,$C128,$C130)</f>
        <v>8.7940762430458239</v>
      </c>
      <c r="AE262" s="32" cm="1">
        <f t="array" ref="AE262">StranglePrice($C124,$C125,$C126,$C127,AE175,$C128,$C130)</f>
        <v>8.8276770951635299</v>
      </c>
      <c r="AF262" s="32" cm="1">
        <f t="array" ref="AF262">StranglePrice($C124,$C125,$C126,$C127,AF175,$C128,$C130)</f>
        <v>8.8242699006924177</v>
      </c>
      <c r="AG262" s="32" cm="1">
        <f t="array" ref="AG262">StranglePrice($C124,$C125,$C126,$C127,AG175,$C128,$C130)</f>
        <v>8.817306921072527</v>
      </c>
      <c r="AH262" s="32" cm="1">
        <f t="array" ref="AH262">StranglePrice($C124,$C125,$C126,$C127,AH175,$C128,$C130)</f>
        <v>8.8465028398452894</v>
      </c>
      <c r="AI262" s="32" cm="1">
        <f t="array" ref="AI262">StranglePrice($C124,$C125,$C126,$C127,AI175,$C128,$C130)</f>
        <v>8.8042423049376985</v>
      </c>
      <c r="AJ262" s="32" cm="1">
        <f t="array" ref="AJ262">StranglePrice($C124,$C125,$C126,$C127,AJ175,$C128,$C130)</f>
        <v>8.86234401710926</v>
      </c>
      <c r="AK262" s="32" cm="1">
        <f t="array" ref="AK262">StranglePrice($C124,$C125,$C126,$C127,AK175,$C128,$C130)</f>
        <v>8.7892087757281914</v>
      </c>
      <c r="AL262" s="32" cm="1">
        <f t="array" ref="AL262">StranglePrice($C124,$C125,$C126,$C127,AL175,$C128,$C130)</f>
        <v>8.873019438319119</v>
      </c>
      <c r="AM262" s="32" cm="1">
        <f t="array" ref="AM262">StranglePrice($C124,$C125,$C126,$C127,AM175,$C128,$C130)</f>
        <v>8.7727506487273388</v>
      </c>
      <c r="AN262" s="32" cm="1">
        <f t="array" ref="AN262">StranglePrice($C124,$C125,$C126,$C127,AN175,$C128,$C130)</f>
        <v>8.8794965329367468</v>
      </c>
      <c r="AO262" s="32" cm="1">
        <f t="array" ref="AO262">StranglePrice($C124,$C125,$C126,$C127,AO175,$C128,$C130)</f>
        <v>8.755279813445064</v>
      </c>
      <c r="AP262" s="32" cm="1">
        <f t="array" ref="AP262">StranglePrice($C124,$C125,$C126,$C127,AP175,$C128,$C130)</f>
        <v>8.8825454922222384</v>
      </c>
      <c r="AQ262" s="32" cm="1">
        <f t="array" ref="AQ262">StranglePrice($C124,$C125,$C126,$C127,AQ175,$C128,$C130)</f>
        <v>8.7371101655384642</v>
      </c>
      <c r="AR262" s="32" cm="1">
        <f t="array" ref="AR262">StranglePrice($C124,$C125,$C126,$C127,AR175,$C128,$C130)</f>
        <v>8.8827844404033947</v>
      </c>
      <c r="AS262" s="32" cm="1">
        <f t="array" ref="AS262">StranglePrice($C124,$C125,$C126,$C127,AS175,$C128,$C130)</f>
        <v>8.7184822722285578</v>
      </c>
      <c r="AT262" s="32" cm="1">
        <f t="array" ref="AT262">StranglePrice($C124,$C125,$C126,$C127,AT175,$C128,$C130)</f>
        <v>8.8807131020419678</v>
      </c>
      <c r="AU262" s="32" cm="1">
        <f t="array" ref="AU262">StranglePrice($C124,$C125,$C126,$C127,AU175,$C128,$C130)</f>
        <v>8.7365436339593412</v>
      </c>
      <c r="AV262" s="32" cm="1">
        <f t="array" ref="AV262">StranglePrice($C124,$C125,$C126,$C127,AV175,$C128,$C130)</f>
        <v>8.8767381767261782</v>
      </c>
      <c r="AW262" s="32" cm="1">
        <f t="array" ref="AW262">StranglePrice($C124,$C125,$C126,$C127,AW175,$C128,$C130)</f>
        <v>8.7564909770573482</v>
      </c>
      <c r="AX262" s="32" cm="1">
        <f t="array" ref="AX262">StranglePrice($C124,$C125,$C126,$C127,AX175,$C128,$C130)</f>
        <v>8.87119266267492</v>
      </c>
      <c r="AY262" s="32" cm="1">
        <f t="array" ref="AY262">StranglePrice($C124,$C125,$C126,$C127,AY175,$C128,$C130)</f>
        <v>8.7729977201791982</v>
      </c>
      <c r="AZ262" s="32" cm="1">
        <f t="array" ref="AZ262">StranglePrice($C124,$C125,$C126,$C127,AZ175,$C128,$C130)</f>
        <v>8.8643507143866831</v>
      </c>
      <c r="BA262" s="32" cm="1">
        <f t="array" ref="BA262">StranglePrice($C124,$C125,$C126,$C127,BA175,$C128,$C130)</f>
        <v>8.7865224932229804</v>
      </c>
      <c r="BB262" s="32" cm="1">
        <f t="array" ref="BB262">StranglePrice($C124,$C125,$C126,$C127,BB175,$C128,$C130)</f>
        <v>8.8564391689934698</v>
      </c>
      <c r="BC262" s="32" cm="1">
        <f t="array" ref="BC262">StranglePrice($C124,$C125,$C126,$C127,BC175,$C128,$C130)</f>
        <v>8.7974548452289714</v>
      </c>
      <c r="BD262" s="32" cm="1">
        <f t="array" ref="BD262">StranglePrice($C124,$C125,$C126,$C127,BD175,$C128,$C130)</f>
        <v>8.8476465628928818</v>
      </c>
      <c r="BE262" s="32" cm="1">
        <f t="array" ref="BE262">StranglePrice($C124,$C125,$C126,$C127,BE175,$C128,$C130)</f>
        <v>8.8061271489093489</v>
      </c>
      <c r="BF262" s="32" cm="1">
        <f t="array" ref="BF262">StranglePrice($C124,$C125,$C126,$C127,BF175,$C128,$C130)</f>
        <v>8.8381302399664108</v>
      </c>
      <c r="BG262" s="32" cm="1">
        <f t="array" ref="BG262">StranglePrice($C124,$C125,$C126,$C127,BG175,$C128,$C130)</f>
        <v>8.8128241939888774</v>
      </c>
      <c r="BH262" s="32" cm="1">
        <f t="array" ref="BH262">StranglePrice($C124,$C125,$C126,$C127,BH175,$C128,$C130)</f>
        <v>8.8280219959589843</v>
      </c>
      <c r="BI262" s="32" cm="1">
        <f t="array" ref="BI262">StranglePrice($C124,$C125,$C126,$C127,BI175,$C128,$C130)</f>
        <v>8.817790966417272</v>
      </c>
      <c r="BJ262" s="32" cm="1">
        <f t="array" ref="BJ262">StranglePrice($C124,$C125,$C126,$C127,BJ175,$C128,$C130)</f>
        <v>8.8174325908463071</v>
      </c>
      <c r="BK262" s="32" cm="1">
        <f t="array" ref="BK262">StranglePrice($C124,$C125,$C126,$C127,BK175,$C128,$C130)</f>
        <v>8.8212389938162783</v>
      </c>
      <c r="BL262" s="32" cm="1">
        <f t="array" ref="BL262">StranglePrice($C124,$C125,$C126,$C127,BL175,$C128,$C130)</f>
        <v>8.8065061419364863</v>
      </c>
      <c r="BM262" s="32" cm="1">
        <f t="array" ref="BM262">StranglePrice($C124,$C125,$C126,$C127,BM175,$C128,$C130)</f>
        <v>8.8233515503681073</v>
      </c>
      <c r="BN262" s="32" cm="1">
        <f t="array" ref="BN262">StranglePrice($C124,$C125,$C126,$C127,BN175,$C128,$C130)</f>
        <v>8.8157875608336056</v>
      </c>
      <c r="BO262" s="32" cm="1">
        <f t="array" ref="BO262">StranglePrice($C124,$C125,$C126,$C127,BO175,$C128,$C130)</f>
        <v>8.8242879487593324</v>
      </c>
      <c r="BP262" s="32" cm="1">
        <f t="array" ref="BP262">StranglePrice($C124,$C125,$C126,$C127,BP175,$C128,$C130)</f>
        <v>8.823561034582232</v>
      </c>
      <c r="BQ262" s="32" cm="1">
        <f t="array" ref="BQ262">StranglePrice($C124,$C125,$C126,$C127,BQ175,$C128,$C130)</f>
        <v>8.8241870970603689</v>
      </c>
      <c r="BR262" s="32" cm="1">
        <f t="array" ref="BR262">StranglePrice($C124,$C125,$C126,$C127,BR175,$C128,$C130)</f>
        <v>8.82997963122952</v>
      </c>
      <c r="BS262" s="32" cm="1">
        <f t="array" ref="BS262">StranglePrice($C124,$C125,$C126,$C127,BS175,$C128,$C130)</f>
        <v>8.8231704604446275</v>
      </c>
      <c r="BT262" s="32" cm="1">
        <f t="array" ref="BT262">StranglePrice($C124,$C125,$C126,$C127,BT175,$C128,$C130)</f>
        <v>8.8351791453478974</v>
      </c>
      <c r="BU262" s="32" cm="1">
        <f t="array" ref="BU262">StranglePrice($C124,$C125,$C126,$C127,BU175,$C128,$C130)</f>
        <v>8.821344538458666</v>
      </c>
      <c r="BV262" s="32" cm="1">
        <f t="array" ref="BV262">StranglePrice($C124,$C125,$C126,$C127,BV175,$C128,$C130)</f>
        <v>8.8392803209225157</v>
      </c>
      <c r="BW262" s="32" cm="1">
        <f t="array" ref="BW262">StranglePrice($C124,$C125,$C126,$C127,BW175,$C128,$C130)</f>
        <v>8.8188029459577439</v>
      </c>
      <c r="BX262" s="32" cm="1">
        <f t="array" ref="BX262">StranglePrice($C124,$C125,$C126,$C127,BX175,$C128,$C130)</f>
        <v>8.8423907523821903</v>
      </c>
      <c r="BY262" s="32" cm="1">
        <f t="array" ref="BY262">StranglePrice($C124,$C125,$C126,$C127,BY175,$C128,$C130)</f>
        <v>8.8156281682316404</v>
      </c>
      <c r="BZ262" s="32" cm="1">
        <f t="array" ref="BZ262">StranglePrice($C124,$C125,$C126,$C127,BZ175,$C128,$C130)</f>
        <v>8.8446065152924174</v>
      </c>
      <c r="CA262" s="32" cm="1">
        <f t="array" ref="CA262">StranglePrice($C124,$C125,$C126,$C127,CA175,$C128,$C130)</f>
        <v>8.8118930470667411</v>
      </c>
      <c r="CB262" s="32" cm="1">
        <f t="array" ref="CB262">StranglePrice($C124,$C125,$C126,$C127,CB175,$C128,$C130)</f>
        <v>8.8460135692699371</v>
      </c>
      <c r="CC262" s="32" cm="1">
        <f t="array" ref="CC262">StranglePrice($C124,$C125,$C126,$C127,CC175,$C128,$C130)</f>
        <v>8.8076620436296409</v>
      </c>
      <c r="CD262" s="32" cm="1">
        <f t="array" ref="CD262">StranglePrice($C124,$C125,$C126,$C127,CD175,$C128,$C130)</f>
        <v>8.8466889683750622</v>
      </c>
      <c r="CE262" s="32" cm="1">
        <f t="array" ref="CE262">StranglePrice($C124,$C125,$C126,$C127,CE175,$C128,$C130)</f>
        <v>8.8029923154598126</v>
      </c>
      <c r="CF262" s="32" cm="1">
        <f t="array" ref="CF262">StranglePrice($C124,$C125,$C126,$C127,CF175,$C128,$C130)</f>
        <v>8.8467019082876046</v>
      </c>
      <c r="CG262" s="32" cm="1">
        <f t="array" ref="CG262">StranglePrice($C124,$C125,$C126,$C127,CG175,$C128,$C130)</f>
        <v>8.7979346380130821</v>
      </c>
      <c r="CH262" s="32" cm="1">
        <f t="array" ref="CH262">StranglePrice($C124,$C125,$C126,$C127,CH175,$C128,$C130)</f>
        <v>8.8461146346969333</v>
      </c>
      <c r="CI262" s="32" cm="1">
        <f t="array" ref="CI262">StranglePrice($C124,$C125,$C126,$C127,CI175,$C128,$C130)</f>
        <v>8.7964701513484744</v>
      </c>
      <c r="CJ262" s="32" cm="1">
        <f t="array" ref="CJ262">StranglePrice($C124,$C125,$C126,$C127,CJ175,$C128,$C130)</f>
        <v>8.8449832333413276</v>
      </c>
      <c r="CK262" s="32" cm="1">
        <f t="array" ref="CK262">StranglePrice($C124,$C125,$C126,$C127,CK175,$C128,$C130)</f>
        <v>8.803648950624483</v>
      </c>
      <c r="CL262" s="32" cm="1">
        <f t="array" ref="CL262">StranglePrice($C124,$C125,$C126,$C127,CL175,$C128,$C130)</f>
        <v>8.8433583188297256</v>
      </c>
      <c r="CM262" s="32" cm="1">
        <f t="array" ref="CM262">StranglePrice($C124,$C125,$C126,$C127,CM175,$C128,$C130)</f>
        <v>8.8099739313393766</v>
      </c>
      <c r="CN262" s="32" cm="1">
        <f t="array" ref="CN262">StranglePrice($C124,$C125,$C126,$C127,CN175,$C128,$C130)</f>
        <v>8.8412856366687649</v>
      </c>
      <c r="CO262" s="32" cm="1">
        <f t="array" ref="CO262">StranglePrice($C124,$C125,$C126,$C127,CO175,$C128,$C130)</f>
        <v>8.8155104587827839</v>
      </c>
      <c r="CP262" s="32" cm="1">
        <f t="array" ref="CP262">StranglePrice($C124,$C125,$C126,$C127,CP175,$C128,$C130)</f>
        <v>8.8388065906602602</v>
      </c>
      <c r="CQ262" s="32" cm="1">
        <f t="array" ref="CQ262">StranglePrice($C124,$C125,$C126,$C127,CQ175,$C128,$C130)</f>
        <v>8.8203182812691256</v>
      </c>
      <c r="CR262" s="32" cm="1">
        <f t="array" ref="CR262">StranglePrice($C124,$C125,$C126,$C127,CR175,$C128,$C130)</f>
        <v>8.8359587059602767</v>
      </c>
      <c r="CS262" s="32" cm="1">
        <f t="array" ref="CS262">StranglePrice($C124,$C125,$C126,$C127,CS175,$C128,$C130)</f>
        <v>8.8244520852128492</v>
      </c>
      <c r="CT262" s="32" cm="1">
        <f t="array" ref="CT262">StranglePrice($C124,$C125,$C126,$C127,CT175,$C128,$C130)</f>
        <v>8.832776036540178</v>
      </c>
      <c r="CU262" s="32" cm="1">
        <f t="array" ref="CU262">StranglePrice($C124,$C125,$C126,$C127,CU175,$C128,$C130)</f>
        <v>8.8279619879705393</v>
      </c>
      <c r="CV262" s="32" cm="1">
        <f t="array" ref="CV262">StranglePrice($C124,$C125,$C126,$C127,CV175,$C128,$C130)</f>
        <v>8.8292895244775664</v>
      </c>
      <c r="CW262" s="32" cm="1">
        <f t="array" ref="CW262">StranglePrice($C124,$C125,$C126,$C127,CW175,$C128,$C130)</f>
        <v>8.8308939762275518</v>
      </c>
      <c r="CX262" s="32" cm="1">
        <f t="array" ref="CX262">StranglePrice($C124,$C125,$C126,$C127,CX175,$C128,$C130)</f>
        <v>8.8255273174176381</v>
      </c>
      <c r="CY262" s="32"/>
      <c r="CZ262" s="32"/>
      <c r="DA262" s="32"/>
      <c r="DB262" s="32"/>
      <c r="DC262" s="32"/>
      <c r="DD262" s="32"/>
      <c r="DE262" s="32"/>
      <c r="DF262" s="32"/>
      <c r="DG262" s="32"/>
    </row>
    <row r="263" spans="3:111" ht="20.350000000000001" customHeight="1" x14ac:dyDescent="0.45">
      <c r="C263" s="47" t="s">
        <v>49</v>
      </c>
      <c r="D263" s="32" cm="1">
        <f t="array" ref="D263">StrangleDelta($C124,$C125,$C126,$C127,D175,$C128,$C130)</f>
        <v>-0.10132322779197481</v>
      </c>
      <c r="E263" s="32" cm="1">
        <f t="array" ref="E263">StrangleDelta($C124,$C125,$C126,$C127,E175,$C128,$C130)</f>
        <v>-0.10213546232650726</v>
      </c>
      <c r="F263" s="32" cm="1">
        <f t="array" ref="F263">StrangleDelta($C124,$C125,$C126,$C127,F175,$C128,$C130)</f>
        <v>-0.10327195892864842</v>
      </c>
      <c r="G263" s="32" cm="1">
        <f t="array" ref="G263">StrangleDelta($C124,$C125,$C126,$C127,G175,$C128,$C130)</f>
        <v>-8.1500805869026208E-2</v>
      </c>
      <c r="H263" s="32" cm="1">
        <f t="array" ref="H263">StrangleDelta($C124,$C125,$C126,$C127,H175,$C128,$C130)</f>
        <v>-0.10397255884623977</v>
      </c>
      <c r="I263" s="32" cm="1">
        <f t="array" ref="I263">StrangleDelta($C124,$C125,$C126,$C127,I175,$C128,$C130)</f>
        <v>-7.9454227467476032E-2</v>
      </c>
      <c r="J263" s="32" cm="1">
        <f t="array" ref="J263">StrangleDelta($C124,$C125,$C126,$C127,J175,$C128,$C130)</f>
        <v>-9.4166078384678248E-2</v>
      </c>
      <c r="K263" s="32" cm="1">
        <f t="array" ref="K263">StrangleDelta($C124,$C125,$C126,$C127,K175,$C128,$C130)</f>
        <v>-8.066375910503798E-2</v>
      </c>
      <c r="L263" s="32" cm="1">
        <f t="array" ref="L263">StrangleDelta($C124,$C125,$C126,$C127,L175,$C128,$C130)</f>
        <v>-8.5258411825214292E-2</v>
      </c>
      <c r="M263" s="32" cm="1">
        <f t="array" ref="M263">StrangleDelta($C124,$C125,$C126,$C127,M175,$C128,$C130)</f>
        <v>-8.247624951344934E-2</v>
      </c>
      <c r="N263" s="32" cm="1">
        <f t="array" ref="N263">StrangleDelta($C124,$C125,$C126,$C127,N175,$C128,$C130)</f>
        <v>-8.1334482474887129E-2</v>
      </c>
      <c r="O263" s="32" cm="1">
        <f t="array" ref="O263">StrangleDelta($C124,$C125,$C126,$C127,O175,$C128,$C130)</f>
        <v>-8.4270922133196244E-2</v>
      </c>
      <c r="P263" s="32" cm="1">
        <f t="array" ref="P263">StrangleDelta($C124,$C125,$C126,$C127,P175,$C128,$C130)</f>
        <v>-7.9731854375850356E-2</v>
      </c>
      <c r="Q263" s="32" cm="1">
        <f t="array" ref="Q263">StrangleDelta($C124,$C125,$C126,$C127,Q175,$C128,$C130)</f>
        <v>-8.5896985837377732E-2</v>
      </c>
      <c r="R263" s="32" cm="1">
        <f t="array" ref="R263">StrangleDelta($C124,$C125,$C126,$C127,R175,$C128,$C130)</f>
        <v>-7.9290236703547262E-2</v>
      </c>
      <c r="S263" s="32" cm="1">
        <f t="array" ref="S263">StrangleDelta($C124,$C125,$C126,$C127,S175,$C128,$C130)</f>
        <v>-8.2964037579547928E-2</v>
      </c>
      <c r="T263" s="32" cm="1">
        <f t="array" ref="T263">StrangleDelta($C124,$C125,$C126,$C127,T175,$C128,$C130)</f>
        <v>-7.9452921042396998E-2</v>
      </c>
      <c r="U263" s="32" cm="1">
        <f t="array" ref="U263">StrangleDelta($C124,$C125,$C126,$C127,U175,$C128,$C130)</f>
        <v>-8.0182843014028449E-2</v>
      </c>
      <c r="V263" s="32" cm="1">
        <f t="array" ref="V263">StrangleDelta($C124,$C125,$C126,$C127,V175,$C128,$C130)</f>
        <v>-7.9933877894394684E-2</v>
      </c>
      <c r="W263" s="32" cm="1">
        <f t="array" ref="W263">StrangleDelta($C124,$C125,$C126,$C127,W175,$C128,$C130)</f>
        <v>-7.8477573897474284E-2</v>
      </c>
      <c r="X263" s="32" cm="1">
        <f t="array" ref="X263">StrangleDelta($C124,$C125,$C126,$C127,X175,$C128,$C130)</f>
        <v>-8.0578751195149942E-2</v>
      </c>
      <c r="Y263" s="32" cm="1">
        <f t="array" ref="Y263">StrangleDelta($C124,$C125,$C126,$C127,Y175,$C128,$C130)</f>
        <v>-7.7482208871350697E-2</v>
      </c>
      <c r="Z263" s="32" cm="1">
        <f t="array" ref="Z263">StrangleDelta($C124,$C125,$C126,$C127,Z175,$C128,$C130)</f>
        <v>-8.1301343118371547E-2</v>
      </c>
      <c r="AA263" s="32" cm="1">
        <f t="array" ref="AA263">StrangleDelta($C124,$C125,$C126,$C127,AA175,$C128,$C130)</f>
        <v>-7.6964442166561176E-2</v>
      </c>
      <c r="AB263" s="32" cm="1">
        <f t="array" ref="AB263">StrangleDelta($C124,$C125,$C126,$C127,AB175,$C128,$C130)</f>
        <v>-8.2052480560627611E-2</v>
      </c>
      <c r="AC263" s="32" cm="1">
        <f t="array" ref="AC263">StrangleDelta($C124,$C125,$C126,$C127,AC175,$C128,$C130)</f>
        <v>-7.6772517614563246E-2</v>
      </c>
      <c r="AD263" s="32" cm="1">
        <f t="array" ref="AD263">StrangleDelta($C124,$C125,$C126,$C127,AD175,$C128,$C130)</f>
        <v>-8.215715141914294E-2</v>
      </c>
      <c r="AE263" s="32" cm="1">
        <f t="array" ref="AE263">StrangleDelta($C124,$C125,$C126,$C127,AE175,$C128,$C130)</f>
        <v>-7.68048883595078E-2</v>
      </c>
      <c r="AF263" s="32" cm="1">
        <f t="array" ref="AF263">StrangleDelta($C124,$C125,$C126,$C127,AF175,$C128,$C130)</f>
        <v>-8.0555116177630101E-2</v>
      </c>
      <c r="AG263" s="32" cm="1">
        <f t="array" ref="AG263">StrangleDelta($C124,$C125,$C126,$C127,AG175,$C128,$C130)</f>
        <v>-7.6992228762902543E-2</v>
      </c>
      <c r="AH263" s="32" cm="1">
        <f t="array" ref="AH263">StrangleDelta($C124,$C125,$C126,$C127,AH175,$C128,$C130)</f>
        <v>-7.9373655477747967E-2</v>
      </c>
      <c r="AI263" s="32" cm="1">
        <f t="array" ref="AI263">StrangleDelta($C124,$C125,$C126,$C127,AI175,$C128,$C130)</f>
        <v>-7.7286413730487516E-2</v>
      </c>
      <c r="AJ263" s="32" cm="1">
        <f t="array" ref="AJ263">StrangleDelta($C124,$C125,$C126,$C127,AJ175,$C128,$C130)</f>
        <v>-7.8515810492353594E-2</v>
      </c>
      <c r="AK263" s="32" cm="1">
        <f t="array" ref="AK263">StrangleDelta($C124,$C125,$C126,$C127,AK175,$C128,$C130)</f>
        <v>-7.7653571709947675E-2</v>
      </c>
      <c r="AL263" s="32" cm="1">
        <f t="array" ref="AL263">StrangleDelta($C124,$C125,$C126,$C127,AL175,$C128,$C130)</f>
        <v>-7.7909044326073956E-2</v>
      </c>
      <c r="AM263" s="32" cm="1">
        <f t="array" ref="AM263">StrangleDelta($C124,$C125,$C126,$C127,AM175,$C128,$C130)</f>
        <v>-7.8069595236444175E-2</v>
      </c>
      <c r="AN263" s="32" cm="1">
        <f t="array" ref="AN263">StrangleDelta($C124,$C125,$C126,$C127,AN175,$C128,$C130)</f>
        <v>-7.7498428993295843E-2</v>
      </c>
      <c r="AO263" s="32" cm="1">
        <f t="array" ref="AO263">StrangleDelta($C124,$C125,$C126,$C127,AO175,$C128,$C130)</f>
        <v>-7.8517175456019397E-2</v>
      </c>
      <c r="AP263" s="32" cm="1">
        <f t="array" ref="AP263">StrangleDelta($C124,$C125,$C126,$C127,AP175,$C128,$C130)</f>
        <v>-7.7241917884542488E-2</v>
      </c>
      <c r="AQ263" s="32" cm="1">
        <f t="array" ref="AQ263">StrangleDelta($C124,$C125,$C126,$C127,AQ175,$C128,$C130)</f>
        <v>-7.8983805022754525E-2</v>
      </c>
      <c r="AR263" s="32" cm="1">
        <f t="array" ref="AR263">StrangleDelta($C124,$C125,$C126,$C127,AR175,$C128,$C130)</f>
        <v>-7.7107011534482156E-2</v>
      </c>
      <c r="AS263" s="32" cm="1">
        <f t="array" ref="AS263">StrangleDelta($C124,$C125,$C126,$C127,AS175,$C128,$C130)</f>
        <v>-7.9460409827594877E-2</v>
      </c>
      <c r="AT263" s="32" cm="1">
        <f t="array" ref="AT263">StrangleDelta($C124,$C125,$C126,$C127,AT175,$C128,$C130)</f>
        <v>-7.7068370934226776E-2</v>
      </c>
      <c r="AU263" s="32" cm="1">
        <f t="array" ref="AU263">StrangleDelta($C124,$C125,$C126,$C127,AU175,$C128,$C130)</f>
        <v>-7.86699036317417E-2</v>
      </c>
      <c r="AV263" s="32" cm="1">
        <f t="array" ref="AV263">StrangleDelta($C124,$C125,$C126,$C127,AV175,$C128,$C130)</f>
        <v>-7.7106085816965583E-2</v>
      </c>
      <c r="AW263" s="32" cm="1">
        <f t="array" ref="AW263">StrangleDelta($C124,$C125,$C126,$C127,AW175,$C128,$C130)</f>
        <v>-7.8056156966567244E-2</v>
      </c>
      <c r="AX263" s="32" cm="1">
        <f t="array" ref="AX263">StrangleDelta($C124,$C125,$C126,$C127,AX175,$C128,$C130)</f>
        <v>-7.7204402495784308E-2</v>
      </c>
      <c r="AY263" s="32" cm="1">
        <f t="array" ref="AY263">StrangleDelta($C124,$C125,$C126,$C127,AY175,$C128,$C130)</f>
        <v>-7.7574662596715416E-2</v>
      </c>
      <c r="AZ263" s="32" cm="1">
        <f t="array" ref="AZ263">StrangleDelta($C124,$C125,$C126,$C127,AZ175,$C128,$C130)</f>
        <v>-7.7350778600675921E-2</v>
      </c>
      <c r="BA263" s="32" cm="1">
        <f t="array" ref="BA263">StrangleDelta($C124,$C125,$C126,$C127,BA175,$C128,$C130)</f>
        <v>-7.7204107123838017E-2</v>
      </c>
      <c r="BB263" s="32" cm="1">
        <f t="array" ref="BB263">StrangleDelta($C124,$C125,$C126,$C127,BB175,$C128,$C130)</f>
        <v>-7.7535173316680792E-2</v>
      </c>
      <c r="BC263" s="32" cm="1">
        <f t="array" ref="BC263">StrangleDelta($C124,$C125,$C126,$C127,BC175,$C128,$C130)</f>
        <v>-7.6926890565071765E-2</v>
      </c>
      <c r="BD263" s="32" cm="1">
        <f t="array" ref="BD263">StrangleDelta($C124,$C125,$C126,$C127,BD175,$C128,$C130)</f>
        <v>-7.774950927597718E-2</v>
      </c>
      <c r="BE263" s="32" cm="1">
        <f t="array" ref="BE263">StrangleDelta($C124,$C125,$C126,$C127,BE175,$C128,$C130)</f>
        <v>-7.6728406301330862E-2</v>
      </c>
      <c r="BF263" s="32" cm="1">
        <f t="array" ref="BF263">StrangleDelta($C124,$C125,$C126,$C127,BF175,$C128,$C130)</f>
        <v>-7.7987260929818211E-2</v>
      </c>
      <c r="BG263" s="32" cm="1">
        <f t="array" ref="BG263">StrangleDelta($C124,$C125,$C126,$C127,BG175,$C128,$C130)</f>
        <v>-7.6596475475263243E-2</v>
      </c>
      <c r="BH263" s="32" cm="1">
        <f t="array" ref="BH263">StrangleDelta($C124,$C125,$C126,$C127,BH175,$C128,$C130)</f>
        <v>-7.8243137056582548E-2</v>
      </c>
      <c r="BI263" s="32" cm="1">
        <f t="array" ref="BI263">StrangleDelta($C124,$C125,$C126,$C127,BI175,$C128,$C130)</f>
        <v>-7.6520899605351272E-2</v>
      </c>
      <c r="BJ263" s="32" cm="1">
        <f t="array" ref="BJ263">StrangleDelta($C124,$C125,$C126,$C127,BJ175,$C128,$C130)</f>
        <v>-7.8512833990826689E-2</v>
      </c>
      <c r="BK263" s="32" cm="1">
        <f t="array" ref="BK263">StrangleDelta($C124,$C125,$C126,$C127,BK175,$C128,$C130)</f>
        <v>-7.6493104376533408E-2</v>
      </c>
      <c r="BL263" s="32" cm="1">
        <f t="array" ref="BL263">StrangleDelta($C124,$C125,$C126,$C127,BL175,$C128,$C130)</f>
        <v>-7.8790906822169812E-2</v>
      </c>
      <c r="BM263" s="32" cm="1">
        <f t="array" ref="BM263">StrangleDelta($C124,$C125,$C126,$C127,BM175,$C128,$C130)</f>
        <v>-7.6505854261889286E-2</v>
      </c>
      <c r="BN263" s="32" cm="1">
        <f t="array" ref="BN263">StrangleDelta($C124,$C125,$C126,$C127,BN175,$C128,$C130)</f>
        <v>-7.8306504499327675E-2</v>
      </c>
      <c r="BO263" s="32" cm="1">
        <f t="array" ref="BO263">StrangleDelta($C124,$C125,$C126,$C127,BO175,$C128,$C130)</f>
        <v>-7.6553022549956704E-2</v>
      </c>
      <c r="BP263" s="32" cm="1">
        <f t="array" ref="BP263">StrangleDelta($C124,$C125,$C126,$C127,BP175,$C128,$C130)</f>
        <v>-7.7897585353721072E-2</v>
      </c>
      <c r="BQ263" s="32" cm="1">
        <f t="array" ref="BQ263">StrangleDelta($C124,$C125,$C126,$C127,BQ175,$C128,$C130)</f>
        <v>-7.6629404993162523E-2</v>
      </c>
      <c r="BR263" s="32" cm="1">
        <f t="array" ref="BR263">StrangleDelta($C124,$C125,$C126,$C127,BR175,$C128,$C130)</f>
        <v>-7.7555061620610724E-2</v>
      </c>
      <c r="BS263" s="32" cm="1">
        <f t="array" ref="BS263">StrangleDelta($C124,$C125,$C126,$C127,BS175,$C128,$C130)</f>
        <v>-7.6730568012103095E-2</v>
      </c>
      <c r="BT263" s="32" cm="1">
        <f t="array" ref="BT263">StrangleDelta($C124,$C125,$C126,$C127,BT175,$C128,$C130)</f>
        <v>-7.7271041607640117E-2</v>
      </c>
      <c r="BU263" s="32" cm="1">
        <f t="array" ref="BU263">StrangleDelta($C124,$C125,$C126,$C127,BU175,$C128,$C130)</f>
        <v>-7.6852724434864489E-2</v>
      </c>
      <c r="BV263" s="32" cm="1">
        <f t="array" ref="BV263">StrangleDelta($C124,$C125,$C126,$C127,BV175,$C128,$C130)</f>
        <v>-7.7038652999824597E-2</v>
      </c>
      <c r="BW263" s="32" cm="1">
        <f t="array" ref="BW263">StrangleDelta($C124,$C125,$C126,$C127,BW175,$C128,$C130)</f>
        <v>-7.6992631299332467E-2</v>
      </c>
      <c r="BX263" s="32" cm="1">
        <f t="array" ref="BX263">StrangleDelta($C124,$C125,$C126,$C127,BX175,$C128,$C130)</f>
        <v>-7.6851895255581573E-2</v>
      </c>
      <c r="BY263" s="32" cm="1">
        <f t="array" ref="BY263">StrangleDelta($C124,$C125,$C126,$C127,BY175,$C128,$C130)</f>
        <v>-7.7147505427147253E-2</v>
      </c>
      <c r="BZ263" s="32" cm="1">
        <f t="array" ref="BZ263">StrangleDelta($C124,$C125,$C126,$C127,BZ175,$C128,$C130)</f>
        <v>-7.6705515820215425E-2</v>
      </c>
      <c r="CA263" s="32" cm="1">
        <f t="array" ref="CA263">StrangleDelta($C124,$C125,$C126,$C127,CA175,$C128,$C130)</f>
        <v>-7.7314953384742757E-2</v>
      </c>
      <c r="CB263" s="32" cm="1">
        <f t="array" ref="CB263">StrangleDelta($C124,$C125,$C126,$C127,CB175,$C128,$C130)</f>
        <v>-7.659490592298028E-2</v>
      </c>
      <c r="CC263" s="32" cm="1">
        <f t="array" ref="CC263">StrangleDelta($C124,$C125,$C126,$C127,CC175,$C128,$C130)</f>
        <v>-7.7492913147260575E-2</v>
      </c>
      <c r="CD263" s="32" cm="1">
        <f t="array" ref="CD263">StrangleDelta($C124,$C125,$C126,$C127,CD175,$C128,$C130)</f>
        <v>-7.6516012544217693E-2</v>
      </c>
      <c r="CE263" s="32" cm="1">
        <f t="array" ref="CE263">StrangleDelta($C124,$C125,$C126,$C127,CE175,$C128,$C130)</f>
        <v>-7.7679605325182102E-2</v>
      </c>
      <c r="CF263" s="32" cm="1">
        <f t="array" ref="CF263">StrangleDelta($C124,$C125,$C126,$C127,CF175,$C128,$C130)</f>
        <v>-7.6465263786882343E-2</v>
      </c>
      <c r="CG263" s="32" cm="1">
        <f t="array" ref="CG263">StrangleDelta($C124,$C125,$C126,$C127,CG175,$C128,$C130)</f>
        <v>-7.7873492238830527E-2</v>
      </c>
      <c r="CH263" s="32" cm="1">
        <f t="array" ref="CH263">StrangleDelta($C124,$C125,$C126,$C127,CH175,$C128,$C130)</f>
        <v>-7.6439505402203373E-2</v>
      </c>
      <c r="CI263" s="32" cm="1">
        <f t="array" ref="CI263">StrangleDelta($C124,$C125,$C126,$C127,CI175,$C128,$C130)</f>
        <v>-7.7923735550741224E-2</v>
      </c>
      <c r="CJ263" s="32" cm="1">
        <f t="array" ref="CJ263">StrangleDelta($C124,$C125,$C126,$C127,CJ175,$C128,$C130)</f>
        <v>-7.6435946632047599E-2</v>
      </c>
      <c r="CK263" s="32" cm="1">
        <f t="array" ref="CK263">StrangleDelta($C124,$C125,$C126,$C127,CK175,$C128,$C130)</f>
        <v>-7.7646278145135417E-2</v>
      </c>
      <c r="CL263" s="32" cm="1">
        <f t="array" ref="CL263">StrangleDelta($C124,$C125,$C126,$C127,CL175,$C128,$C130)</f>
        <v>-7.645211385964322E-2</v>
      </c>
      <c r="CM263" s="32" cm="1">
        <f t="array" ref="CM263">StrangleDelta($C124,$C125,$C126,$C127,CM175,$C128,$C130)</f>
        <v>-7.7405218211848426E-2</v>
      </c>
      <c r="CN263" s="32" cm="1">
        <f t="array" ref="CN263">StrangleDelta($C124,$C125,$C126,$C127,CN175,$C128,$C130)</f>
        <v>-7.6485810827742737E-2</v>
      </c>
      <c r="CO263" s="32" cm="1">
        <f t="array" ref="CO263">StrangleDelta($C124,$C125,$C126,$C127,CO175,$C128,$C130)</f>
        <v>-7.7197204795810992E-2</v>
      </c>
      <c r="CP263" s="32" cm="1">
        <f t="array" ref="CP263">StrangleDelta($C124,$C125,$C126,$C127,CP175,$C128,$C130)</f>
        <v>-7.6535084398218767E-2</v>
      </c>
      <c r="CQ263" s="32" cm="1">
        <f t="array" ref="CQ263">StrangleDelta($C124,$C125,$C126,$C127,CQ175,$C128,$C130)</f>
        <v>-7.7019222023649275E-2</v>
      </c>
      <c r="CR263" s="32" cm="1">
        <f t="array" ref="CR263">StrangleDelta($C124,$C125,$C126,$C127,CR175,$C128,$C130)</f>
        <v>-7.6598195001919708E-2</v>
      </c>
      <c r="CS263" s="32" cm="1">
        <f t="array" ref="CS263">StrangleDelta($C124,$C125,$C126,$C127,CS175,$C128,$C130)</f>
        <v>-7.6868551440480784E-2</v>
      </c>
      <c r="CT263" s="32" cm="1">
        <f t="array" ref="CT263">StrangleDelta($C124,$C125,$C126,$C127,CT175,$C128,$C130)</f>
        <v>-7.6673591070844205E-2</v>
      </c>
      <c r="CU263" s="32" cm="1">
        <f t="array" ref="CU263">StrangleDelta($C124,$C125,$C126,$C127,CU175,$C128,$C130)</f>
        <v>-7.6742739079716654E-2</v>
      </c>
      <c r="CV263" s="32" cm="1">
        <f t="array" ref="CV263">StrangleDelta($C124,$C125,$C126,$C127,CV175,$C128,$C130)</f>
        <v>-7.6759886860858856E-2</v>
      </c>
      <c r="CW263" s="32" cm="1">
        <f t="array" ref="CW263">StrangleDelta($C124,$C125,$C126,$C127,CW175,$C128,$C130)</f>
        <v>-7.6639566608453405E-2</v>
      </c>
      <c r="CX263" s="32" cm="1">
        <f t="array" ref="CX263">StrangleDelta($C124,$C125,$C126,$C127,CX175,$C128,$C130)</f>
        <v>-7.6855843169875371E-2</v>
      </c>
      <c r="CY263" s="32"/>
      <c r="CZ263" s="32"/>
      <c r="DA263" s="32"/>
      <c r="DB263" s="32"/>
      <c r="DC263" s="32"/>
      <c r="DD263" s="32"/>
      <c r="DE263" s="32"/>
      <c r="DF263" s="32"/>
      <c r="DG263" s="32"/>
    </row>
    <row r="264" spans="3:111" ht="20.350000000000001" customHeight="1" x14ac:dyDescent="0.45">
      <c r="C264" s="47" t="s">
        <v>50</v>
      </c>
      <c r="D264" s="32">
        <f>LOG(ABS(D262-$D266))</f>
        <v>-0.66328003405448621</v>
      </c>
      <c r="E264" s="32">
        <f t="shared" ref="E264:BP264" si="55">LOG(ABS(E262-$D266))</f>
        <v>-0.6409236513285298</v>
      </c>
      <c r="F264" s="32">
        <f t="shared" si="55"/>
        <v>-2.858155137857973</v>
      </c>
      <c r="G264" s="32">
        <f t="shared" si="55"/>
        <v>-0.42456818674509544</v>
      </c>
      <c r="H264" s="32">
        <f t="shared" si="55"/>
        <v>-0.60992925028131517</v>
      </c>
      <c r="I264" s="32">
        <f t="shared" si="55"/>
        <v>-0.51258641893668322</v>
      </c>
      <c r="J264" s="32">
        <f t="shared" si="55"/>
        <v>-0.819544115238377</v>
      </c>
      <c r="K264" s="32">
        <f t="shared" si="55"/>
        <v>-0.70327104169224797</v>
      </c>
      <c r="L264" s="32">
        <f t="shared" si="55"/>
        <v>-1.7233792165860182</v>
      </c>
      <c r="M264" s="32">
        <f t="shared" si="55"/>
        <v>-1.0625935490927356</v>
      </c>
      <c r="N264" s="32">
        <f t="shared" si="55"/>
        <v>-1.017327852928634</v>
      </c>
      <c r="O264" s="32">
        <f t="shared" si="55"/>
        <v>-1.7544305816860759</v>
      </c>
      <c r="P264" s="32">
        <f t="shared" si="55"/>
        <v>-0.90587907355117891</v>
      </c>
      <c r="Q264" s="32">
        <f t="shared" si="55"/>
        <v>-0.94881894476933581</v>
      </c>
      <c r="R264" s="32">
        <f t="shared" si="55"/>
        <v>-0.90312198343314898</v>
      </c>
      <c r="S264" s="32">
        <f t="shared" si="55"/>
        <v>-1.1042785939989004</v>
      </c>
      <c r="T264" s="32">
        <f t="shared" si="55"/>
        <v>-0.95838010966324061</v>
      </c>
      <c r="U264" s="32">
        <f t="shared" si="55"/>
        <v>-1.4897930507985087</v>
      </c>
      <c r="V264" s="32">
        <f t="shared" si="55"/>
        <v>-1.065738383437828</v>
      </c>
      <c r="W264" s="32">
        <f t="shared" si="55"/>
        <v>-2.3316602305234078</v>
      </c>
      <c r="X264" s="32">
        <f t="shared" si="55"/>
        <v>-1.2476050887259511</v>
      </c>
      <c r="Y264" s="32">
        <f t="shared" si="55"/>
        <v>-2.0035067189113009</v>
      </c>
      <c r="Z264" s="32">
        <f t="shared" si="55"/>
        <v>-1.6163411137031258</v>
      </c>
      <c r="AA264" s="32">
        <f t="shared" si="55"/>
        <v>-1.8219462326638645</v>
      </c>
      <c r="AB264" s="32">
        <f t="shared" si="55"/>
        <v>-2.0160581307504071</v>
      </c>
      <c r="AC264" s="32">
        <f t="shared" si="55"/>
        <v>-1.873791887262745</v>
      </c>
      <c r="AD264" s="32">
        <f t="shared" si="55"/>
        <v>-1.5698088721428205</v>
      </c>
      <c r="AE264" s="32">
        <f t="shared" si="55"/>
        <v>-2.1756361607299102</v>
      </c>
      <c r="AF264" s="32">
        <f t="shared" si="55"/>
        <v>-2.4859224064259302</v>
      </c>
      <c r="AG264" s="32">
        <f t="shared" si="55"/>
        <v>-2.4322072046168</v>
      </c>
      <c r="AH264" s="32">
        <f t="shared" si="55"/>
        <v>-1.5934700208798671</v>
      </c>
      <c r="AI264" s="32">
        <f t="shared" si="55"/>
        <v>-1.7756966049655627</v>
      </c>
      <c r="AJ264" s="32">
        <f t="shared" si="55"/>
        <v>-1.3836234525504754</v>
      </c>
      <c r="AK264" s="32">
        <f t="shared" si="55"/>
        <v>-1.4976457726337551</v>
      </c>
      <c r="AL264" s="32">
        <f t="shared" si="55"/>
        <v>-1.2838630520113896</v>
      </c>
      <c r="AM264" s="32">
        <f t="shared" si="55"/>
        <v>-1.3164775696600954</v>
      </c>
      <c r="AN264" s="32">
        <f t="shared" si="55"/>
        <v>-1.2328954050813237</v>
      </c>
      <c r="AO264" s="32">
        <f t="shared" si="55"/>
        <v>-1.1822784885123929</v>
      </c>
      <c r="AP264" s="32">
        <f t="shared" si="55"/>
        <v>-1.2108280172314287</v>
      </c>
      <c r="AQ264" s="32">
        <f t="shared" si="55"/>
        <v>-1.0762728603249623</v>
      </c>
      <c r="AR264" s="32">
        <f t="shared" si="55"/>
        <v>-1.20914505525147</v>
      </c>
      <c r="AS264" s="32">
        <f t="shared" si="55"/>
        <v>-0.98918646061909354</v>
      </c>
      <c r="AT264" s="32">
        <f t="shared" si="55"/>
        <v>-1.223955378329008</v>
      </c>
      <c r="AU264" s="32">
        <f t="shared" si="55"/>
        <v>-1.0733499263328645</v>
      </c>
      <c r="AV264" s="32">
        <f t="shared" si="55"/>
        <v>-1.2538740367928516</v>
      </c>
      <c r="AW264" s="32">
        <f t="shared" si="55"/>
        <v>-1.1903563853486701</v>
      </c>
      <c r="AX264" s="32">
        <f t="shared" si="55"/>
        <v>-1.2993895203404053</v>
      </c>
      <c r="AY264" s="32">
        <f t="shared" si="55"/>
        <v>-1.3187070245984274</v>
      </c>
      <c r="AZ264" s="32">
        <f t="shared" si="55"/>
        <v>-1.3630381932875111</v>
      </c>
      <c r="BA264" s="32">
        <f t="shared" si="55"/>
        <v>-1.4624208327263168</v>
      </c>
      <c r="BB264" s="32">
        <f t="shared" si="55"/>
        <v>-1.4505586138970765</v>
      </c>
      <c r="BC264" s="32">
        <f t="shared" si="55"/>
        <v>-1.6280350254717753</v>
      </c>
      <c r="BD264" s="32">
        <f t="shared" si="55"/>
        <v>-1.5744148527363477</v>
      </c>
      <c r="BE264" s="32">
        <f t="shared" si="55"/>
        <v>-1.8275053667203731</v>
      </c>
      <c r="BF264" s="32">
        <f t="shared" si="55"/>
        <v>-1.7663237446367968</v>
      </c>
      <c r="BG264" s="32">
        <f t="shared" si="55"/>
        <v>-2.087286791900854</v>
      </c>
      <c r="BH264" s="32">
        <f t="shared" si="55"/>
        <v>-2.1537521599526275</v>
      </c>
      <c r="BI264" s="32">
        <f t="shared" si="55"/>
        <v>-2.4931605948229043</v>
      </c>
      <c r="BJ264" s="32">
        <f t="shared" si="55"/>
        <v>-2.4472286394616836</v>
      </c>
      <c r="BK264" s="32">
        <f t="shared" si="55"/>
        <v>-3.6279076755591788</v>
      </c>
      <c r="BL264" s="32">
        <f t="shared" si="55"/>
        <v>-1.8387129673496352</v>
      </c>
      <c r="BM264" s="32">
        <f t="shared" si="55"/>
        <v>-2.629281275166758</v>
      </c>
      <c r="BN264" s="32">
        <f t="shared" si="55"/>
        <v>-2.2826725766740932</v>
      </c>
      <c r="BO264" s="32">
        <f t="shared" si="55"/>
        <v>-2.4835294192719424</v>
      </c>
      <c r="BP264" s="32">
        <f t="shared" si="55"/>
        <v>-2.5921680959561417</v>
      </c>
      <c r="BQ264" s="32">
        <f t="shared" ref="BQ264:CX264" si="56">LOG(ABS(BQ262-$D266))</f>
        <v>-2.4970735588124398</v>
      </c>
      <c r="BR264" s="32">
        <f t="shared" si="56"/>
        <v>-2.0469078465445221</v>
      </c>
      <c r="BS264" s="32">
        <f t="shared" si="56"/>
        <v>-2.6641367544052237</v>
      </c>
      <c r="BT264" s="32">
        <f t="shared" si="56"/>
        <v>-1.8484552862632968</v>
      </c>
      <c r="BU264" s="32">
        <f t="shared" si="56"/>
        <v>-3.4671187378226125</v>
      </c>
      <c r="BV264" s="32">
        <f t="shared" si="56"/>
        <v>-1.738097889575924</v>
      </c>
      <c r="BW264" s="32">
        <f t="shared" si="56"/>
        <v>-2.6574800362590221</v>
      </c>
      <c r="BX264" s="32">
        <f t="shared" si="56"/>
        <v>-1.6698437632276084</v>
      </c>
      <c r="BY264" s="32">
        <f t="shared" si="56"/>
        <v>-2.2695996688803941</v>
      </c>
      <c r="BZ264" s="32">
        <f t="shared" si="56"/>
        <v>-1.6270313864841164</v>
      </c>
      <c r="CA264" s="32">
        <f t="shared" si="56"/>
        <v>-2.0404629477628657</v>
      </c>
      <c r="CB264" s="32">
        <f t="shared" si="56"/>
        <v>-1.6018840429954311</v>
      </c>
      <c r="CC264" s="32">
        <f t="shared" si="56"/>
        <v>-1.8747987513170477</v>
      </c>
      <c r="CD264" s="32">
        <f t="shared" si="56"/>
        <v>-1.5903114760196553</v>
      </c>
      <c r="CE264" s="32">
        <f t="shared" si="56"/>
        <v>-1.7444591992875347</v>
      </c>
      <c r="CF264" s="32">
        <f t="shared" si="56"/>
        <v>-1.590092741283603</v>
      </c>
      <c r="CG264" s="32">
        <f t="shared" si="56"/>
        <v>-1.6369749810072523</v>
      </c>
      <c r="CH264" s="32">
        <f t="shared" si="56"/>
        <v>-1.6001326042384776</v>
      </c>
      <c r="CI264" s="32">
        <f t="shared" si="56"/>
        <v>-1.6102442522780727</v>
      </c>
      <c r="CJ264" s="32">
        <f t="shared" si="56"/>
        <v>-1.6201545425746002</v>
      </c>
      <c r="CK264" s="32">
        <f t="shared" si="56"/>
        <v>-1.760588189719718</v>
      </c>
      <c r="CL264" s="32">
        <f t="shared" si="56"/>
        <v>-1.6506276568310472</v>
      </c>
      <c r="CM264" s="32">
        <f t="shared" si="56"/>
        <v>-1.9574438805051892</v>
      </c>
      <c r="CN264" s="32">
        <f t="shared" si="56"/>
        <v>-1.6928849850963055</v>
      </c>
      <c r="CO264" s="32">
        <f t="shared" si="56"/>
        <v>-2.2601919794798202</v>
      </c>
      <c r="CP264" s="32">
        <f t="shared" si="56"/>
        <v>-1.7495031040606328</v>
      </c>
      <c r="CQ264" s="32">
        <f t="shared" si="56"/>
        <v>-3.1642095531152745</v>
      </c>
      <c r="CR264" s="32">
        <f t="shared" si="56"/>
        <v>-1.8252058248609382</v>
      </c>
      <c r="CS264" s="32">
        <f t="shared" si="56"/>
        <v>-2.4623513334791789</v>
      </c>
      <c r="CT264" s="32">
        <f t="shared" si="56"/>
        <v>-1.9291276958631782</v>
      </c>
      <c r="CU264" s="32">
        <f t="shared" si="56"/>
        <v>-2.1574813007102573</v>
      </c>
      <c r="CV264" s="32">
        <f t="shared" si="56"/>
        <v>-2.0816505813707624</v>
      </c>
      <c r="CW264" s="32">
        <f t="shared" si="56"/>
        <v>-2.0047801100451212</v>
      </c>
      <c r="CX264" s="32">
        <f t="shared" si="56"/>
        <v>-2.3444890580611242</v>
      </c>
      <c r="CY264" s="32"/>
      <c r="CZ264" s="32"/>
      <c r="DA264" s="32"/>
      <c r="DB264" s="32"/>
      <c r="DC264" s="32"/>
      <c r="DD264" s="32"/>
      <c r="DE264" s="32"/>
      <c r="DF264" s="32"/>
      <c r="DG264" s="32"/>
    </row>
    <row r="265" spans="3:111" ht="20.350000000000001" customHeight="1" x14ac:dyDescent="0.45">
      <c r="C265" s="47" t="s">
        <v>51</v>
      </c>
      <c r="D265" s="32">
        <f>LOG(ABS(D263-$D267))</f>
        <v>-1.596098847755566</v>
      </c>
      <c r="E265" s="32">
        <f t="shared" ref="E265:BP265" si="57">LOG(ABS(E263-$D267))</f>
        <v>-1.5823995918995375</v>
      </c>
      <c r="F265" s="32">
        <f t="shared" si="57"/>
        <v>-1.5639288665483211</v>
      </c>
      <c r="G265" s="32">
        <f t="shared" si="57"/>
        <v>-2.2578174905790158</v>
      </c>
      <c r="H265" s="32">
        <f t="shared" si="57"/>
        <v>-1.5529218873277848</v>
      </c>
      <c r="I265" s="32">
        <f t="shared" si="57"/>
        <v>-2.4588556990312878</v>
      </c>
      <c r="J265" s="32">
        <f t="shared" si="57"/>
        <v>-1.7402062801875156</v>
      </c>
      <c r="K265" s="32">
        <f t="shared" si="57"/>
        <v>-2.3291932499446575</v>
      </c>
      <c r="L265" s="32">
        <f t="shared" si="57"/>
        <v>-2.0324192233397502</v>
      </c>
      <c r="M265" s="32">
        <f t="shared" si="57"/>
        <v>-2.1871842974856919</v>
      </c>
      <c r="N265" s="32">
        <f t="shared" si="57"/>
        <v>-2.2710968741131148</v>
      </c>
      <c r="O265" s="32">
        <f t="shared" si="57"/>
        <v>-2.0812772737372289</v>
      </c>
      <c r="P265" s="32">
        <f t="shared" si="57"/>
        <v>-2.425489135758931</v>
      </c>
      <c r="Q265" s="32">
        <f t="shared" si="57"/>
        <v>-2.0035200728626301</v>
      </c>
      <c r="R265" s="32">
        <f t="shared" si="57"/>
        <v>-2.4798407325471334</v>
      </c>
      <c r="S265" s="32">
        <f t="shared" si="57"/>
        <v>-2.1557511118780921</v>
      </c>
      <c r="T265" s="32">
        <f t="shared" si="57"/>
        <v>-2.4590189313435884</v>
      </c>
      <c r="U265" s="32">
        <f t="shared" si="57"/>
        <v>-2.3762203572666318</v>
      </c>
      <c r="V265" s="32">
        <f t="shared" si="57"/>
        <v>-2.4027253867280622</v>
      </c>
      <c r="W265" s="32">
        <f t="shared" si="57"/>
        <v>-2.6020837951014055</v>
      </c>
      <c r="X265" s="32">
        <f t="shared" si="57"/>
        <v>-2.3371439650566863</v>
      </c>
      <c r="Y265" s="32">
        <f t="shared" si="57"/>
        <v>-2.8226083990795359</v>
      </c>
      <c r="Z265" s="32">
        <f t="shared" si="57"/>
        <v>-2.2737919568433766</v>
      </c>
      <c r="AA265" s="32">
        <f t="shared" si="57"/>
        <v>-3.005801118561378</v>
      </c>
      <c r="AB265" s="32">
        <f t="shared" si="57"/>
        <v>-2.2164701861044769</v>
      </c>
      <c r="AC265" s="32">
        <f t="shared" si="57"/>
        <v>-3.0997384831278127</v>
      </c>
      <c r="AD265" s="32">
        <f t="shared" si="57"/>
        <v>-2.2090508451071056</v>
      </c>
      <c r="AE265" s="32">
        <f t="shared" si="57"/>
        <v>-3.0824013186732904</v>
      </c>
      <c r="AF265" s="32">
        <f t="shared" si="57"/>
        <v>-2.3393806358171383</v>
      </c>
      <c r="AG265" s="32">
        <f t="shared" si="57"/>
        <v>-2.9937403100599056</v>
      </c>
      <c r="AH265" s="32">
        <f t="shared" si="57"/>
        <v>-2.4690394085743237</v>
      </c>
      <c r="AI265" s="32">
        <f t="shared" si="57"/>
        <v>-2.8831589646753257</v>
      </c>
      <c r="AJ265" s="32">
        <f t="shared" si="57"/>
        <v>-2.5954913439436456</v>
      </c>
      <c r="AK265" s="32">
        <f t="shared" si="57"/>
        <v>-2.7757620598969579</v>
      </c>
      <c r="AL265" s="32">
        <f t="shared" si="57"/>
        <v>-2.7141427473271231</v>
      </c>
      <c r="AM265" s="32">
        <f t="shared" si="57"/>
        <v>-2.6794623359591818</v>
      </c>
      <c r="AN265" s="32">
        <f t="shared" si="57"/>
        <v>-2.8179512923484809</v>
      </c>
      <c r="AO265" s="32">
        <f t="shared" si="57"/>
        <v>-2.5952578476491586</v>
      </c>
      <c r="AP265" s="32">
        <f t="shared" si="57"/>
        <v>-2.8981818212080048</v>
      </c>
      <c r="AQ265" s="32">
        <f t="shared" si="57"/>
        <v>-2.5219974282762649</v>
      </c>
      <c r="AR265" s="32">
        <f t="shared" si="57"/>
        <v>-2.94719043526139</v>
      </c>
      <c r="AS265" s="32">
        <f t="shared" si="57"/>
        <v>-2.4580840702154139</v>
      </c>
      <c r="AT265" s="32">
        <f t="shared" si="57"/>
        <v>-2.9623106083781141</v>
      </c>
      <c r="AU265" s="32">
        <f t="shared" si="57"/>
        <v>-2.5698938556759594</v>
      </c>
      <c r="AV265" s="32">
        <f t="shared" si="57"/>
        <v>-2.9475465839014183</v>
      </c>
      <c r="AW265" s="32">
        <f t="shared" si="57"/>
        <v>-2.6822612445078753</v>
      </c>
      <c r="AX265" s="32">
        <f t="shared" si="57"/>
        <v>-2.9112646169375531</v>
      </c>
      <c r="AY265" s="32">
        <f t="shared" si="57"/>
        <v>-2.7967082250821265</v>
      </c>
      <c r="AZ265" s="32">
        <f t="shared" si="57"/>
        <v>-2.8623080549382824</v>
      </c>
      <c r="BA265" s="32">
        <f t="shared" si="57"/>
        <v>-2.9113692021937272</v>
      </c>
      <c r="BB265" s="32">
        <f t="shared" si="57"/>
        <v>-2.8075824299253775</v>
      </c>
      <c r="BC265" s="32">
        <f t="shared" si="57"/>
        <v>-3.0226515833537198</v>
      </c>
      <c r="BD265" s="32">
        <f t="shared" si="57"/>
        <v>-2.751585705442976</v>
      </c>
      <c r="BE265" s="32">
        <f t="shared" si="57"/>
        <v>-3.1245362556996854</v>
      </c>
      <c r="BF265" s="32">
        <f t="shared" si="57"/>
        <v>-2.6969011812898764</v>
      </c>
      <c r="BG265" s="32">
        <f t="shared" si="57"/>
        <v>-3.2084745714600844</v>
      </c>
      <c r="BH265" s="32">
        <f t="shared" si="57"/>
        <v>-2.6448500931288086</v>
      </c>
      <c r="BI265" s="32">
        <f t="shared" si="57"/>
        <v>-3.265049284413561</v>
      </c>
      <c r="BJ265" s="32">
        <f t="shared" si="57"/>
        <v>-2.5960009523040015</v>
      </c>
      <c r="BK265" s="32">
        <f t="shared" si="57"/>
        <v>-3.2878610989504797</v>
      </c>
      <c r="BL265" s="32">
        <f t="shared" si="57"/>
        <v>-2.5508000237562478</v>
      </c>
      <c r="BM265" s="32">
        <f t="shared" si="57"/>
        <v>-3.2772481902184039</v>
      </c>
      <c r="BN265" s="32">
        <f t="shared" si="57"/>
        <v>-2.6328690048134762</v>
      </c>
      <c r="BO265" s="32">
        <f t="shared" si="57"/>
        <v>-3.2400968460353345</v>
      </c>
      <c r="BP265" s="32">
        <f t="shared" si="57"/>
        <v>-2.7167271745262758</v>
      </c>
      <c r="BQ265" s="32">
        <f t="shared" ref="BQ265:CX265" si="58">LOG(ABS(BQ263-$D267))</f>
        <v>-3.1859562281841973</v>
      </c>
      <c r="BR265" s="32">
        <f t="shared" si="58"/>
        <v>-2.8020717367718535</v>
      </c>
      <c r="BS265" s="32">
        <f t="shared" si="58"/>
        <v>-3.1232874536493664</v>
      </c>
      <c r="BT265" s="32">
        <f t="shared" si="58"/>
        <v>-2.8882904172855834</v>
      </c>
      <c r="BU265" s="32">
        <f t="shared" si="58"/>
        <v>-3.0579852387379405</v>
      </c>
      <c r="BV265" s="32">
        <f t="shared" si="58"/>
        <v>-2.9743083246520317</v>
      </c>
      <c r="BW265" s="32">
        <f t="shared" si="58"/>
        <v>-2.9935680265673312</v>
      </c>
      <c r="BX265" s="32">
        <f t="shared" si="58"/>
        <v>-3.0583969794837378</v>
      </c>
      <c r="BY265" s="32">
        <f t="shared" si="58"/>
        <v>-2.9318904219513233</v>
      </c>
      <c r="BZ265" s="32">
        <f t="shared" si="58"/>
        <v>-3.1379850242466336</v>
      </c>
      <c r="CA265" s="32">
        <f t="shared" si="58"/>
        <v>-2.873789840399346</v>
      </c>
      <c r="CB265" s="32">
        <f t="shared" si="58"/>
        <v>-3.2095775982648083</v>
      </c>
      <c r="CC265" s="32">
        <f t="shared" si="58"/>
        <v>-2.8195293997384354</v>
      </c>
      <c r="CD265" s="32">
        <f t="shared" si="58"/>
        <v>-3.2689743091834651</v>
      </c>
      <c r="CE265" s="32">
        <f t="shared" si="58"/>
        <v>-2.7690673892251798</v>
      </c>
      <c r="CF265" s="32">
        <f t="shared" si="58"/>
        <v>-3.3119782848383981</v>
      </c>
      <c r="CG265" s="32">
        <f t="shared" si="58"/>
        <v>-2.7222117604465246</v>
      </c>
      <c r="CH265" s="32">
        <f t="shared" si="58"/>
        <v>-3.3355512598963228</v>
      </c>
      <c r="CI265" s="32">
        <f t="shared" si="58"/>
        <v>-2.7108516670217582</v>
      </c>
      <c r="CJ265" s="32">
        <f t="shared" si="58"/>
        <v>-3.3389110669038242</v>
      </c>
      <c r="CK265" s="32">
        <f t="shared" si="58"/>
        <v>-2.7776562911121285</v>
      </c>
      <c r="CL265" s="32">
        <f t="shared" si="58"/>
        <v>-3.3238526278417044</v>
      </c>
      <c r="CM265" s="32">
        <f t="shared" si="58"/>
        <v>-2.8454216644302868</v>
      </c>
      <c r="CN265" s="32">
        <f t="shared" si="58"/>
        <v>-3.2940508833081346</v>
      </c>
      <c r="CO265" s="32">
        <f t="shared" si="58"/>
        <v>-2.913820376067044</v>
      </c>
      <c r="CP265" s="32">
        <f t="shared" si="58"/>
        <v>-3.2538536998014376</v>
      </c>
      <c r="CQ265" s="32">
        <f t="shared" si="58"/>
        <v>-2.9823360953255103</v>
      </c>
      <c r="CR265" s="32">
        <f t="shared" si="58"/>
        <v>-3.2072693550178868</v>
      </c>
      <c r="CS265" s="32">
        <f t="shared" si="58"/>
        <v>-3.0502000366480995</v>
      </c>
      <c r="CT265" s="32">
        <f t="shared" si="58"/>
        <v>-3.1574655505975637</v>
      </c>
      <c r="CU265" s="32">
        <f t="shared" si="58"/>
        <v>-3.1163225782993216</v>
      </c>
      <c r="CV265" s="32">
        <f t="shared" si="58"/>
        <v>-3.106695546334393</v>
      </c>
      <c r="CW265" s="32">
        <f t="shared" si="58"/>
        <v>-3.1792366936667462</v>
      </c>
      <c r="CX265" s="32">
        <f t="shared" si="58"/>
        <v>-3.0564400724880985</v>
      </c>
      <c r="CY265" s="32"/>
      <c r="CZ265" s="32"/>
      <c r="DA265" s="32"/>
      <c r="DB265" s="32"/>
      <c r="DC265" s="32"/>
      <c r="DD265" s="32"/>
      <c r="DE265" s="32"/>
      <c r="DF265" s="32"/>
      <c r="DG265" s="32"/>
    </row>
    <row r="266" spans="3:111" ht="20.350000000000001" customHeight="1" x14ac:dyDescent="0.45">
      <c r="C266" s="47" t="s">
        <v>64</v>
      </c>
      <c r="D266" s="32">
        <f>C124*(_xlfn.NORM.S.DIST(H251,TRUE)-_xlfn.NORM.S.DIST(-H250,TRUE))
 +EXP(-C125*C127)*
   (C128*_xlfn.NORM.S.DIST(-(H250-C126*SQRT(C127)),TRUE)
    -C130*_xlfn.NORM.S.DIST(H251-C126*SQRT(C127),TRUE))</f>
        <v>8.8210034388177796</v>
      </c>
      <c r="E266" s="32">
        <f>D266</f>
        <v>8.8210034388177796</v>
      </c>
      <c r="F266" s="32">
        <f>D267</f>
        <v>-7.5977710919253871E-2</v>
      </c>
      <c r="G266" s="32"/>
      <c r="H266" s="32"/>
      <c r="I266" s="32"/>
      <c r="J266" s="32"/>
      <c r="K266" s="32"/>
      <c r="L266" s="32"/>
      <c r="M266" s="32"/>
      <c r="N266" s="32"/>
      <c r="O266" s="32"/>
      <c r="P266" s="32"/>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c r="AP266" s="32"/>
      <c r="AQ266" s="32"/>
      <c r="AR266" s="32"/>
      <c r="AS266" s="32"/>
      <c r="AT266" s="32"/>
      <c r="AU266" s="32"/>
      <c r="AV266" s="32"/>
      <c r="AW266" s="32"/>
      <c r="AX266" s="32"/>
      <c r="AY266" s="32"/>
      <c r="AZ266" s="32"/>
      <c r="BA266" s="32"/>
      <c r="BB266" s="32"/>
      <c r="BC266" s="32"/>
      <c r="BD266" s="32"/>
      <c r="BE266" s="32"/>
      <c r="BF266" s="32"/>
      <c r="BG266" s="32"/>
      <c r="BH266" s="32"/>
      <c r="BI266" s="32"/>
      <c r="BJ266" s="32"/>
      <c r="BK266" s="32"/>
      <c r="BL266" s="32"/>
      <c r="BM266" s="32"/>
      <c r="BN266" s="32"/>
      <c r="BO266" s="32"/>
      <c r="BP266" s="32"/>
      <c r="BQ266" s="32"/>
      <c r="BR266" s="32"/>
      <c r="BS266" s="32"/>
      <c r="BT266" s="32"/>
      <c r="BU266" s="32"/>
      <c r="BV266" s="32"/>
      <c r="BW266" s="32"/>
      <c r="BX266" s="32"/>
      <c r="BY266" s="32"/>
      <c r="BZ266" s="32"/>
      <c r="CA266" s="32"/>
      <c r="CB266" s="32"/>
      <c r="CC266" s="32"/>
      <c r="CD266" s="32"/>
      <c r="CE266" s="32"/>
      <c r="CF266" s="32"/>
      <c r="CG266" s="32"/>
      <c r="CH266" s="32"/>
      <c r="CI266" s="32"/>
      <c r="CJ266" s="32"/>
      <c r="CK266" s="32"/>
      <c r="CL266" s="32"/>
      <c r="CM266" s="32"/>
      <c r="CN266" s="32"/>
      <c r="CO266" s="32"/>
      <c r="CP266" s="32"/>
      <c r="CQ266" s="32"/>
      <c r="CR266" s="32"/>
      <c r="CS266" s="32"/>
      <c r="CT266" s="32"/>
      <c r="CU266" s="32"/>
      <c r="CV266" s="32"/>
      <c r="CW266" s="32"/>
      <c r="CX266" s="32"/>
      <c r="CY266" s="32"/>
      <c r="CZ266" s="32"/>
      <c r="DA266" s="32"/>
      <c r="DB266" s="32"/>
      <c r="DC266" s="32"/>
      <c r="DD266" s="32"/>
      <c r="DE266" s="32"/>
      <c r="DF266" s="32"/>
      <c r="DG266" s="32"/>
    </row>
    <row r="267" spans="3:111" ht="20.350000000000001" customHeight="1" x14ac:dyDescent="0.45">
      <c r="C267" s="47" t="s">
        <v>59</v>
      </c>
      <c r="D267" s="32">
        <f>_xlfn.NORM.S.DIST(H251,TRUE)+_xlfn.NORM.S.DIST(H250,TRUE)-1</f>
        <v>-7.5977710919253871E-2</v>
      </c>
      <c r="E267" s="32">
        <f>D266</f>
        <v>8.8210034388177796</v>
      </c>
      <c r="F267" s="32">
        <f>D267</f>
        <v>-7.5977710919253871E-2</v>
      </c>
      <c r="G267" s="32"/>
      <c r="H267" s="32"/>
      <c r="I267" s="32"/>
      <c r="J267" s="32"/>
      <c r="K267" s="32"/>
      <c r="L267" s="32"/>
      <c r="M267" s="32"/>
      <c r="N267" s="32"/>
      <c r="O267" s="32"/>
      <c r="P267" s="32"/>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c r="AP267" s="32"/>
      <c r="AQ267" s="32"/>
      <c r="AR267" s="32"/>
      <c r="AS267" s="32"/>
      <c r="AT267" s="32"/>
      <c r="AU267" s="32"/>
      <c r="AV267" s="32"/>
      <c r="AW267" s="32"/>
      <c r="AX267" s="32"/>
      <c r="AY267" s="32"/>
      <c r="AZ267" s="32"/>
      <c r="BA267" s="32"/>
      <c r="BB267" s="32"/>
      <c r="BC267" s="32"/>
      <c r="BD267" s="32"/>
      <c r="BE267" s="32"/>
      <c r="BF267" s="32"/>
      <c r="BG267" s="32"/>
      <c r="BH267" s="32"/>
      <c r="BI267" s="32"/>
      <c r="BJ267" s="32"/>
      <c r="BK267" s="32"/>
      <c r="BL267" s="32"/>
      <c r="BM267" s="32"/>
      <c r="BN267" s="32"/>
      <c r="BO267" s="32"/>
      <c r="BP267" s="32"/>
      <c r="BQ267" s="32"/>
      <c r="BR267" s="32"/>
      <c r="BS267" s="32"/>
      <c r="BT267" s="32"/>
      <c r="BU267" s="32"/>
      <c r="BV267" s="32"/>
      <c r="BW267" s="32"/>
      <c r="BX267" s="32"/>
      <c r="BY267" s="32"/>
      <c r="BZ267" s="32"/>
      <c r="CA267" s="32"/>
      <c r="CB267" s="32"/>
      <c r="CC267" s="32"/>
      <c r="CD267" s="32"/>
      <c r="CE267" s="32"/>
      <c r="CF267" s="32"/>
      <c r="CG267" s="32"/>
      <c r="CH267" s="32"/>
      <c r="CI267" s="32"/>
      <c r="CJ267" s="32"/>
      <c r="CK267" s="32"/>
      <c r="CL267" s="32"/>
      <c r="CM267" s="32"/>
      <c r="CN267" s="32"/>
      <c r="CO267" s="32"/>
      <c r="CP267" s="32"/>
      <c r="CQ267" s="32"/>
      <c r="CR267" s="32"/>
      <c r="CS267" s="32"/>
      <c r="CT267" s="32"/>
      <c r="CU267" s="32"/>
      <c r="CV267" s="32"/>
      <c r="CW267" s="32"/>
      <c r="CX267" s="32"/>
      <c r="CY267" s="32"/>
      <c r="CZ267" s="32"/>
      <c r="DA267" s="32"/>
      <c r="DB267" s="32"/>
      <c r="DC267" s="32"/>
      <c r="DD267" s="32"/>
      <c r="DE267" s="32"/>
      <c r="DF267" s="32"/>
      <c r="DG267" s="32"/>
    </row>
    <row r="268" spans="3:111" ht="20.350000000000001" customHeight="1" x14ac:dyDescent="0.45">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c r="AP268" s="32"/>
      <c r="AQ268" s="32"/>
      <c r="AR268" s="32"/>
      <c r="AS268" s="32"/>
      <c r="AT268" s="32"/>
      <c r="AU268" s="32"/>
      <c r="AV268" s="32"/>
      <c r="AW268" s="32"/>
      <c r="AX268" s="32"/>
      <c r="AY268" s="32"/>
      <c r="AZ268" s="32"/>
      <c r="BA268" s="32"/>
      <c r="BB268" s="32"/>
      <c r="BC268" s="32"/>
      <c r="BD268" s="32"/>
      <c r="BE268" s="32"/>
      <c r="BF268" s="32"/>
      <c r="BG268" s="32"/>
      <c r="BH268" s="32"/>
      <c r="BI268" s="32"/>
      <c r="BJ268" s="32"/>
      <c r="BK268" s="32"/>
      <c r="BL268" s="32"/>
      <c r="BM268" s="32"/>
      <c r="BN268" s="32"/>
      <c r="BO268" s="32"/>
      <c r="BP268" s="32"/>
      <c r="BQ268" s="32"/>
      <c r="BR268" s="32"/>
      <c r="BS268" s="32"/>
      <c r="BT268" s="32"/>
      <c r="BU268" s="32"/>
      <c r="BV268" s="32"/>
      <c r="BW268" s="32"/>
      <c r="BX268" s="32"/>
      <c r="BY268" s="32"/>
      <c r="BZ268" s="32"/>
      <c r="CA268" s="32"/>
      <c r="CB268" s="32"/>
      <c r="CC268" s="32"/>
      <c r="CD268" s="32"/>
      <c r="CE268" s="32"/>
      <c r="CF268" s="32"/>
      <c r="CG268" s="32"/>
      <c r="CH268" s="32"/>
      <c r="CI268" s="32"/>
      <c r="CJ268" s="32"/>
      <c r="CK268" s="32"/>
      <c r="CL268" s="32"/>
      <c r="CM268" s="32"/>
      <c r="CN268" s="32"/>
      <c r="CO268" s="32"/>
      <c r="CP268" s="32"/>
      <c r="CQ268" s="32"/>
      <c r="CR268" s="32"/>
      <c r="CS268" s="32"/>
      <c r="CT268" s="32"/>
      <c r="CU268" s="32"/>
      <c r="CV268" s="32"/>
      <c r="CW268" s="32"/>
      <c r="CX268" s="32"/>
      <c r="CY268" s="32"/>
      <c r="CZ268" s="32"/>
      <c r="DA268" s="32"/>
      <c r="DB268" s="32"/>
      <c r="DC268" s="32"/>
      <c r="DD268" s="32"/>
      <c r="DE268" s="32"/>
      <c r="DF268" s="32"/>
      <c r="DG268" s="32"/>
    </row>
    <row r="269" spans="3:111" ht="20.350000000000001" customHeight="1" x14ac:dyDescent="0.45">
      <c r="C269" s="47" t="s">
        <v>70</v>
      </c>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c r="AP269" s="32"/>
      <c r="AQ269" s="32"/>
      <c r="AR269" s="32"/>
      <c r="AS269" s="32"/>
      <c r="AT269" s="32"/>
      <c r="AU269" s="32"/>
      <c r="AV269" s="32"/>
      <c r="AW269" s="32"/>
      <c r="AX269" s="32"/>
      <c r="AY269" s="32"/>
      <c r="AZ269" s="32"/>
      <c r="BA269" s="32"/>
      <c r="BB269" s="32"/>
      <c r="BC269" s="32"/>
      <c r="BD269" s="32"/>
      <c r="BE269" s="32"/>
      <c r="BF269" s="32"/>
      <c r="BG269" s="32"/>
      <c r="BH269" s="32"/>
      <c r="BI269" s="32"/>
      <c r="BJ269" s="32"/>
      <c r="BK269" s="32"/>
      <c r="BL269" s="32"/>
      <c r="BM269" s="32"/>
      <c r="BN269" s="32"/>
      <c r="BO269" s="32"/>
      <c r="BP269" s="32"/>
      <c r="BQ269" s="32"/>
      <c r="BR269" s="32"/>
      <c r="BS269" s="32"/>
      <c r="BT269" s="32"/>
      <c r="BU269" s="32"/>
      <c r="BV269" s="32"/>
      <c r="BW269" s="32"/>
      <c r="BX269" s="32"/>
      <c r="BY269" s="32"/>
      <c r="BZ269" s="32"/>
      <c r="CA269" s="32"/>
      <c r="CB269" s="32"/>
      <c r="CC269" s="32"/>
      <c r="CD269" s="32"/>
      <c r="CE269" s="32"/>
      <c r="CF269" s="32"/>
      <c r="CG269" s="32"/>
      <c r="CH269" s="32"/>
      <c r="CI269" s="32"/>
      <c r="CJ269" s="32"/>
      <c r="CK269" s="32"/>
      <c r="CL269" s="32"/>
      <c r="CM269" s="32"/>
      <c r="CN269" s="32"/>
      <c r="CO269" s="32"/>
      <c r="CP269" s="32"/>
      <c r="CQ269" s="32"/>
      <c r="CR269" s="32"/>
      <c r="CS269" s="32"/>
      <c r="CT269" s="32"/>
      <c r="CU269" s="32"/>
      <c r="CV269" s="32"/>
      <c r="CW269" s="32"/>
      <c r="CX269" s="32"/>
      <c r="CY269" s="32"/>
      <c r="CZ269" s="32"/>
      <c r="DA269" s="32"/>
      <c r="DB269" s="32"/>
      <c r="DC269" s="32"/>
      <c r="DD269" s="32"/>
      <c r="DE269" s="32"/>
      <c r="DF269" s="32"/>
      <c r="DG269" s="32"/>
    </row>
    <row r="270" spans="3:111" ht="20.350000000000001" customHeight="1" x14ac:dyDescent="0.45">
      <c r="C270" s="47" t="s">
        <v>38</v>
      </c>
      <c r="D270" s="32" cm="1">
        <f t="array" ref="D270">ButterflyPrice($C124,$C125,$C126,$C127,D175,$C128,$C130)</f>
        <v>1.4574657941701372</v>
      </c>
      <c r="E270" s="32" cm="1">
        <f t="array" ref="E270">ButterflyPrice($C124,$C125,$C126,$C127,E175,$C128,$C130)</f>
        <v>1.6025090539293052</v>
      </c>
      <c r="F270" s="32" cm="1">
        <f t="array" ref="F270">ButterflyPrice($C124,$C125,$C126,$C127,F175,$C128,$C130)</f>
        <v>1.0898121020646405</v>
      </c>
      <c r="G270" s="32" cm="1">
        <f t="array" ref="G270">ButterflyPrice($C124,$C125,$C126,$C127,G175,$C128,$C130)</f>
        <v>2.1940143936499519</v>
      </c>
      <c r="H270" s="32" cm="1">
        <f t="array" ref="H270">ButterflyPrice($C124,$C125,$C126,$C127,H175,$C128,$C130)</f>
        <v>0.90723084224278305</v>
      </c>
      <c r="I270" s="32" cm="1">
        <f t="array" ref="I270">ButterflyPrice($C124,$C125,$C126,$C127,I175,$C128,$C130)</f>
        <v>2.3156962016141818</v>
      </c>
      <c r="J270" s="32" cm="1">
        <f t="array" ref="J270">ButterflyPrice($C124,$C125,$C126,$C127,J175,$C128,$C130)</f>
        <v>1.0790442712789317</v>
      </c>
      <c r="K270" s="32" cm="1">
        <f t="array" ref="K270">ButterflyPrice($C124,$C125,$C126,$C127,K175,$C128,$C130)</f>
        <v>2.3122776115058135</v>
      </c>
      <c r="L270" s="32" cm="1">
        <f t="array" ref="L270">ButterflyPrice($C124,$C125,$C126,$C127,L175,$C128,$C130)</f>
        <v>1.3206060994595437</v>
      </c>
      <c r="M270" s="32" cm="1">
        <f t="array" ref="M270">ButterflyPrice($C124,$C125,$C126,$C127,M175,$C128,$C130)</f>
        <v>2.0241854563831416</v>
      </c>
      <c r="N270" s="32" cm="1">
        <f t="array" ref="N270">ButterflyPrice($C124,$C125,$C126,$C127,N175,$C128,$C130)</f>
        <v>1.4597351881047973</v>
      </c>
      <c r="O270" s="32" cm="1">
        <f t="array" ref="O270">ButterflyPrice($C124,$C125,$C126,$C127,O175,$C128,$C130)</f>
        <v>1.7753044248217742</v>
      </c>
      <c r="P270" s="32" cm="1">
        <f t="array" ref="P270">ButterflyPrice($C124,$C125,$C126,$C127,P175,$C128,$C130)</f>
        <v>1.5415234172333494</v>
      </c>
      <c r="Q270" s="32" cm="1">
        <f t="array" ref="Q270">ButterflyPrice($C124,$C125,$C126,$C127,Q175,$C128,$C130)</f>
        <v>1.5870842707967538</v>
      </c>
      <c r="R270" s="32" cm="1">
        <f t="array" ref="R270">ButterflyPrice($C124,$C125,$C126,$C127,R175,$C128,$C130)</f>
        <v>1.5890953384704054</v>
      </c>
      <c r="S270" s="32" cm="1">
        <f t="array" ref="S270">ButterflyPrice($C124,$C125,$C126,$C127,S175,$C128,$C130)</f>
        <v>1.5591040168441943</v>
      </c>
      <c r="T270" s="32" cm="1">
        <f t="array" ref="T270">ButterflyPrice($C124,$C125,$C126,$C127,T175,$C128,$C130)</f>
        <v>1.6152782903102121</v>
      </c>
      <c r="U270" s="32" cm="1">
        <f t="array" ref="U270">ButterflyPrice($C124,$C125,$C126,$C127,U175,$C128,$C130)</f>
        <v>1.5638462399633044</v>
      </c>
      <c r="V270" s="32" cm="1">
        <f t="array" ref="V270">ButterflyPrice($C124,$C125,$C126,$C127,V175,$C128,$C130)</f>
        <v>1.6276256443705401</v>
      </c>
      <c r="W270" s="32" cm="1">
        <f t="array" ref="W270">ButterflyPrice($C124,$C125,$C126,$C127,W175,$C128,$C130)</f>
        <v>1.5636297351903543</v>
      </c>
      <c r="X270" s="32" cm="1">
        <f t="array" ref="X270">ButterflyPrice($C124,$C125,$C126,$C127,X175,$C128,$C130)</f>
        <v>1.6307979227754288</v>
      </c>
      <c r="Y270" s="32" cm="1">
        <f t="array" ref="Y270">ButterflyPrice($C124,$C125,$C126,$C127,Y175,$C128,$C130)</f>
        <v>1.559678814104885</v>
      </c>
      <c r="Z270" s="32" cm="1">
        <f t="array" ref="Z270">ButterflyPrice($C124,$C125,$C126,$C127,Z175,$C128,$C130)</f>
        <v>1.6277799532020127</v>
      </c>
      <c r="AA270" s="32" cm="1">
        <f t="array" ref="AA270">ButterflyPrice($C124,$C125,$C126,$C127,AA175,$C128,$C130)</f>
        <v>1.5529523941696175</v>
      </c>
      <c r="AB270" s="32" cm="1">
        <f t="array" ref="AB270">ButterflyPrice($C124,$C125,$C126,$C127,AB175,$C128,$C130)</f>
        <v>1.6205419183619756</v>
      </c>
      <c r="AC270" s="32" cm="1">
        <f t="array" ref="AC270">ButterflyPrice($C124,$C125,$C126,$C127,AC175,$C128,$C130)</f>
        <v>1.5441840215136688</v>
      </c>
      <c r="AD270" s="32" cm="1">
        <f t="array" ref="AD270">ButterflyPrice($C124,$C125,$C126,$C127,AD175,$C128,$C130)</f>
        <v>1.6274968662564631</v>
      </c>
      <c r="AE270" s="32" cm="1">
        <f t="array" ref="AE270">ButterflyPrice($C124,$C125,$C126,$C127,AE175,$C128,$C130)</f>
        <v>1.5339300918857612</v>
      </c>
      <c r="AF270" s="32" cm="1">
        <f t="array" ref="AF270">ButterflyPrice($C124,$C125,$C126,$C127,AF175,$C128,$C130)</f>
        <v>1.6799152767931131</v>
      </c>
      <c r="AG270" s="32" cm="1">
        <f t="array" ref="AG270">ButterflyPrice($C124,$C125,$C126,$C127,AG175,$C128,$C130)</f>
        <v>1.5226118269442657</v>
      </c>
      <c r="AH270" s="32" cm="1">
        <f t="array" ref="AH270">ButterflyPrice($C124,$C125,$C126,$C127,AH175,$C128,$C130)</f>
        <v>1.7226184776456943</v>
      </c>
      <c r="AI270" s="32" cm="1">
        <f t="array" ref="AI270">ButterflyPrice($C124,$C125,$C126,$C127,AI175,$C128,$C130)</f>
        <v>1.5105484224463972</v>
      </c>
      <c r="AJ270" s="32" cm="1">
        <f t="array" ref="AJ270">ButterflyPrice($C124,$C125,$C126,$C127,AJ175,$C128,$C130)</f>
        <v>1.7573952451692059</v>
      </c>
      <c r="AK270" s="32" cm="1">
        <f t="array" ref="AK270">ButterflyPrice($C124,$C125,$C126,$C127,AK175,$C128,$C130)</f>
        <v>1.4979822487692096</v>
      </c>
      <c r="AL270" s="32" cm="1">
        <f t="array" ref="AL270">ButterflyPrice($C124,$C125,$C126,$C127,AL175,$C128,$C130)</f>
        <v>1.7856549453344674</v>
      </c>
      <c r="AM270" s="32" cm="1">
        <f t="array" ref="AM270">ButterflyPrice($C124,$C125,$C126,$C127,AM175,$C128,$C130)</f>
        <v>1.4850977237698719</v>
      </c>
      <c r="AN270" s="32" cm="1">
        <f t="array" ref="AN270">ButterflyPrice($C124,$C125,$C126,$C127,AN175,$C128,$C130)</f>
        <v>1.7963789153063221</v>
      </c>
      <c r="AO270" s="32" cm="1">
        <f t="array" ref="AO270">ButterflyPrice($C124,$C125,$C126,$C127,AO175,$C128,$C130)</f>
        <v>1.4720353838178466</v>
      </c>
      <c r="AP270" s="32" cm="1">
        <f t="array" ref="AP270">ButterflyPrice($C124,$C125,$C126,$C127,AP175,$C128,$C130)</f>
        <v>1.7741245071698517</v>
      </c>
      <c r="AQ270" s="32" cm="1">
        <f t="array" ref="AQ270">ButterflyPrice($C124,$C125,$C126,$C127,AQ175,$C128,$C130)</f>
        <v>1.458902383174058</v>
      </c>
      <c r="AR270" s="32" cm="1">
        <f t="array" ref="AR270">ButterflyPrice($C124,$C125,$C126,$C127,AR175,$C128,$C130)</f>
        <v>1.7528010071981692</v>
      </c>
      <c r="AS270" s="32" cm="1">
        <f t="array" ref="AS270">ButterflyPrice($C124,$C125,$C126,$C127,AS175,$C128,$C130)</f>
        <v>1.4457803560145761</v>
      </c>
      <c r="AT270" s="32" cm="1">
        <f t="array" ref="AT270">ButterflyPrice($C124,$C125,$C126,$C127,AT175,$C128,$C130)</f>
        <v>1.732322643726929</v>
      </c>
      <c r="AU270" s="32" cm="1">
        <f t="array" ref="AU270">ButterflyPrice($C124,$C125,$C126,$C127,AU175,$C128,$C130)</f>
        <v>1.4696936854473215</v>
      </c>
      <c r="AV270" s="32" cm="1">
        <f t="array" ref="AV270">ButterflyPrice($C124,$C125,$C126,$C127,AV175,$C128,$C130)</f>
        <v>1.7126187075280155</v>
      </c>
      <c r="AW270" s="32" cm="1">
        <f t="array" ref="AW270">ButterflyPrice($C124,$C125,$C126,$C127,AW175,$C128,$C130)</f>
        <v>1.4957431102382821</v>
      </c>
      <c r="AX270" s="32" cm="1">
        <f t="array" ref="AX270">ButterflyPrice($C124,$C125,$C126,$C127,AX175,$C128,$C130)</f>
        <v>1.6936297430116052</v>
      </c>
      <c r="AY270" s="32" cm="1">
        <f t="array" ref="AY270">ButterflyPrice($C124,$C125,$C126,$C127,AY175,$C128,$C130)</f>
        <v>1.5185268163198007</v>
      </c>
      <c r="AZ270" s="32" cm="1">
        <f t="array" ref="AZ270">ButterflyPrice($C124,$C125,$C126,$C127,AZ175,$C128,$C130)</f>
        <v>1.675304880993596</v>
      </c>
      <c r="BA270" s="32" cm="1">
        <f t="array" ref="BA270">ButterflyPrice($C124,$C125,$C126,$C127,BA175,$C128,$C130)</f>
        <v>1.5384442203755053</v>
      </c>
      <c r="BB270" s="32" cm="1">
        <f t="array" ref="BB270">ButterflyPrice($C124,$C125,$C126,$C127,BB175,$C128,$C130)</f>
        <v>1.6575999377028108</v>
      </c>
      <c r="BC270" s="32" cm="1">
        <f t="array" ref="BC270">ButterflyPrice($C124,$C125,$C126,$C127,BC175,$C128,$C130)</f>
        <v>1.5558381217369479</v>
      </c>
      <c r="BD270" s="32" cm="1">
        <f t="array" ref="BD270">ButterflyPrice($C124,$C125,$C126,$C127,BD175,$C128,$C130)</f>
        <v>1.6404760363665425</v>
      </c>
      <c r="BE270" s="32" cm="1">
        <f t="array" ref="BE270">ButterflyPrice($C124,$C125,$C126,$C127,BE175,$C128,$C130)</f>
        <v>1.5710039098378683</v>
      </c>
      <c r="BF270" s="32" cm="1">
        <f t="array" ref="BF270">ButterflyPrice($C124,$C125,$C126,$C127,BF175,$C128,$C130)</f>
        <v>1.6238985906622752</v>
      </c>
      <c r="BG270" s="32" cm="1">
        <f t="array" ref="BG270">ButterflyPrice($C124,$C125,$C126,$C127,BG175,$C128,$C130)</f>
        <v>1.5841970932679237</v>
      </c>
      <c r="BH270" s="32" cm="1">
        <f t="array" ref="BH270">ButterflyPrice($C124,$C125,$C126,$C127,BH175,$C128,$C130)</f>
        <v>1.6078365424506942</v>
      </c>
      <c r="BI270" s="32" cm="1">
        <f t="array" ref="BI270">ButterflyPrice($C124,$C125,$C126,$C127,BI175,$C128,$C130)</f>
        <v>1.5956394858221428</v>
      </c>
      <c r="BJ270" s="32" cm="1">
        <f t="array" ref="BJ270">ButterflyPrice($C124,$C125,$C126,$C127,BJ175,$C128,$C130)</f>
        <v>1.5922617807546009</v>
      </c>
      <c r="BK270" s="32" cm="1">
        <f t="array" ref="BK270">ButterflyPrice($C124,$C125,$C126,$C127,BK175,$C128,$C130)</f>
        <v>1.6055243129687335</v>
      </c>
      <c r="BL270" s="32" cm="1">
        <f t="array" ref="BL270">ButterflyPrice($C124,$C125,$C126,$C127,BL175,$C128,$C130)</f>
        <v>1.5771994545820982</v>
      </c>
      <c r="BM270" s="32" cm="1">
        <f t="array" ref="BM270">ButterflyPrice($C124,$C125,$C126,$C127,BM175,$C128,$C130)</f>
        <v>1.6140204464270163</v>
      </c>
      <c r="BN270" s="32" cm="1">
        <f t="array" ref="BN270">ButterflyPrice($C124,$C125,$C126,$C127,BN175,$C128,$C130)</f>
        <v>1.5830921179297708</v>
      </c>
      <c r="BO270" s="32" cm="1">
        <f t="array" ref="BO270">ButterflyPrice($C124,$C125,$C126,$C127,BO175,$C128,$C130)</f>
        <v>1.6212759313007616</v>
      </c>
      <c r="BP270" s="32" cm="1">
        <f t="array" ref="BP270">ButterflyPrice($C124,$C125,$C126,$C127,BP175,$C128,$C130)</f>
        <v>1.5881355373079193</v>
      </c>
      <c r="BQ270" s="32" cm="1">
        <f t="array" ref="BQ270">ButterflyPrice($C124,$C125,$C126,$C127,BQ175,$C128,$C130)</f>
        <v>1.6274209365457168</v>
      </c>
      <c r="BR270" s="32" cm="1">
        <f t="array" ref="BR270">ButterflyPrice($C124,$C125,$C126,$C127,BR175,$C128,$C130)</f>
        <v>1.5924061123582183</v>
      </c>
      <c r="BS270" s="32" cm="1">
        <f t="array" ref="BS270">ButterflyPrice($C124,$C125,$C126,$C127,BS175,$C128,$C130)</f>
        <v>1.6325702332481198</v>
      </c>
      <c r="BT270" s="32" cm="1">
        <f t="array" ref="BT270">ButterflyPrice($C124,$C125,$C126,$C127,BT175,$C128,$C130)</f>
        <v>1.5959729253542354</v>
      </c>
      <c r="BU270" s="32" cm="1">
        <f t="array" ref="BU270">ButterflyPrice($C124,$C125,$C126,$C127,BU175,$C128,$C130)</f>
        <v>1.6368252845573841</v>
      </c>
      <c r="BV270" s="32" cm="1">
        <f t="array" ref="BV270">ButterflyPrice($C124,$C125,$C126,$C127,BV175,$C128,$C130)</f>
        <v>1.5988984796557599</v>
      </c>
      <c r="BW270" s="32" cm="1">
        <f t="array" ref="BW270">ButterflyPrice($C124,$C125,$C126,$C127,BW175,$C128,$C130)</f>
        <v>1.6402760148602074</v>
      </c>
      <c r="BX270" s="32" cm="1">
        <f t="array" ref="BX270">ButterflyPrice($C124,$C125,$C126,$C127,BX175,$C128,$C130)</f>
        <v>1.6012393674938539</v>
      </c>
      <c r="BY270" s="32" cm="1">
        <f t="array" ref="BY270">ButterflyPrice($C124,$C125,$C126,$C127,BY175,$C128,$C130)</f>
        <v>1.6430023129216285</v>
      </c>
      <c r="BZ270" s="32" cm="1">
        <f t="array" ref="BZ270">ButterflyPrice($C124,$C125,$C126,$C127,BZ175,$C128,$C130)</f>
        <v>1.6030468711070005</v>
      </c>
      <c r="CA270" s="32" cm="1">
        <f t="array" ref="CA270">ButterflyPrice($C124,$C125,$C126,$C127,CA175,$C128,$C130)</f>
        <v>1.6450753134972989</v>
      </c>
      <c r="CB270" s="32" cm="1">
        <f t="array" ref="CB270">ButterflyPrice($C124,$C125,$C126,$C127,CB175,$C128,$C130)</f>
        <v>1.6043675021840629</v>
      </c>
      <c r="CC270" s="32" cm="1">
        <f t="array" ref="CC270">ButterflyPrice($C124,$C125,$C126,$C127,CC175,$C128,$C130)</f>
        <v>1.6465584937611977</v>
      </c>
      <c r="CD270" s="32" cm="1">
        <f t="array" ref="CD270">ButterflyPrice($C124,$C125,$C126,$C127,CD175,$C128,$C130)</f>
        <v>1.6052434849235901</v>
      </c>
      <c r="CE270" s="32" cm="1">
        <f t="array" ref="CE270">ButterflyPrice($C124,$C125,$C126,$C127,CE175,$C128,$C130)</f>
        <v>1.6475086143528306</v>
      </c>
      <c r="CF270" s="32" cm="1">
        <f t="array" ref="CF270">ButterflyPrice($C124,$C125,$C126,$C127,CF175,$C128,$C130)</f>
        <v>1.605713188021201</v>
      </c>
      <c r="CG270" s="32" cm="1">
        <f t="array" ref="CG270">ButterflyPrice($C124,$C125,$C126,$C127,CG175,$C128,$C130)</f>
        <v>1.647976529581773</v>
      </c>
      <c r="CH270" s="32" cm="1">
        <f t="array" ref="CH270">ButterflyPrice($C124,$C125,$C126,$C127,CH175,$C128,$C130)</f>
        <v>1.6058115106876567</v>
      </c>
      <c r="CI270" s="32" cm="1">
        <f t="array" ref="CI270">ButterflyPrice($C124,$C125,$C126,$C127,CI175,$C128,$C130)</f>
        <v>1.6475744847115963</v>
      </c>
      <c r="CJ270" s="32" cm="1">
        <f t="array" ref="CJ270">ButterflyPrice($C124,$C125,$C126,$C127,CJ175,$C128,$C130)</f>
        <v>1.6055702274761132</v>
      </c>
      <c r="CK270" s="32" cm="1">
        <f t="array" ref="CK270">ButterflyPrice($C124,$C125,$C126,$C127,CK175,$C128,$C130)</f>
        <v>1.6473991717948764</v>
      </c>
      <c r="CL270" s="32" cm="1">
        <f t="array" ref="CL270">ButterflyPrice($C124,$C125,$C126,$C127,CL175,$C128,$C130)</f>
        <v>1.6050182963161483</v>
      </c>
      <c r="CM270" s="32" cm="1">
        <f t="array" ref="CM270">ButterflyPrice($C124,$C125,$C126,$C127,CM175,$C128,$C130)</f>
        <v>1.6469703958157025</v>
      </c>
      <c r="CN270" s="32" cm="1">
        <f t="array" ref="CN270">ButterflyPrice($C124,$C125,$C126,$C127,CN175,$C128,$C130)</f>
        <v>1.6041821337546014</v>
      </c>
      <c r="CO270" s="32" cm="1">
        <f t="array" ref="CO270">ButterflyPrice($C124,$C125,$C126,$C127,CO175,$C128,$C130)</f>
        <v>1.6463061944576929</v>
      </c>
      <c r="CP270" s="32" cm="1">
        <f t="array" ref="CP270">ButterflyPrice($C124,$C125,$C126,$C127,CP175,$C128,$C130)</f>
        <v>1.6030858610108578</v>
      </c>
      <c r="CQ270" s="32" cm="1">
        <f t="array" ref="CQ270">ButterflyPrice($C124,$C125,$C126,$C127,CQ175,$C128,$C130)</f>
        <v>1.6454233992855716</v>
      </c>
      <c r="CR270" s="32" cm="1">
        <f t="array" ref="CR270">ButterflyPrice($C124,$C125,$C126,$C127,CR175,$C128,$C130)</f>
        <v>1.6017515240785039</v>
      </c>
      <c r="CS270" s="32" cm="1">
        <f t="array" ref="CS270">ButterflyPrice($C124,$C125,$C126,$C127,CS175,$C128,$C130)</f>
        <v>1.6443377078500041</v>
      </c>
      <c r="CT270" s="32" cm="1">
        <f t="array" ref="CT270">ButterflyPrice($C124,$C125,$C126,$C127,CT175,$C128,$C130)</f>
        <v>1.6001992907593747</v>
      </c>
      <c r="CU270" s="32" cm="1">
        <f t="array" ref="CU270">ButterflyPrice($C124,$C125,$C126,$C127,CU175,$C128,$C130)</f>
        <v>1.6430637544067548</v>
      </c>
      <c r="CV270" s="32" cm="1">
        <f t="array" ref="CV270">ButterflyPrice($C124,$C125,$C126,$C127,CV175,$C128,$C130)</f>
        <v>1.5984476271957033</v>
      </c>
      <c r="CW270" s="32" cm="1">
        <f t="array" ref="CW270">ButterflyPrice($C124,$C125,$C126,$C127,CW175,$C128,$C130)</f>
        <v>1.6416151783780419</v>
      </c>
      <c r="CX270" s="32" cm="1">
        <f t="array" ref="CX270">ButterflyPrice($C124,$C125,$C126,$C127,CX175,$C128,$C130)</f>
        <v>1.5965134561782026</v>
      </c>
      <c r="CY270" s="32"/>
      <c r="CZ270" s="32"/>
      <c r="DA270" s="32"/>
      <c r="DB270" s="32"/>
      <c r="DC270" s="32"/>
      <c r="DD270" s="32"/>
      <c r="DE270" s="32"/>
      <c r="DF270" s="32"/>
      <c r="DG270" s="32"/>
    </row>
    <row r="271" spans="3:111" ht="20.350000000000001" customHeight="1" x14ac:dyDescent="0.45">
      <c r="C271" s="47" t="s">
        <v>49</v>
      </c>
      <c r="D271" s="32" cm="1">
        <f t="array" ref="D271">ButterflyDelta($C124,$C125,$C126,$C127,D175,$C128,$C130)</f>
        <v>0</v>
      </c>
      <c r="E271" s="32" cm="1">
        <f t="array" ref="E271">ButterflyDelta($C124,$C125,$C126,$C127,E175,$C128,$C130)</f>
        <v>4.703145921129892E-2</v>
      </c>
      <c r="F271" s="32" cm="1">
        <f t="array" ref="F271">ButterflyDelta($C124,$C125,$C126,$C127,F175,$C128,$C130)</f>
        <v>0</v>
      </c>
      <c r="G271" s="32" cm="1">
        <f t="array" ref="G271">ButterflyDelta($C124,$C125,$C126,$C127,G175,$C128,$C130)</f>
        <v>4.9550249810924166E-2</v>
      </c>
      <c r="H271" s="32" cm="1">
        <f t="array" ref="H271">ButterflyDelta($C124,$C125,$C126,$C127,H175,$C128,$C130)</f>
        <v>0</v>
      </c>
      <c r="I271" s="32" cm="1">
        <f t="array" ref="I271">ButterflyDelta($C124,$C125,$C126,$C127,I175,$C128,$C130)</f>
        <v>4.407513432980463E-2</v>
      </c>
      <c r="J271" s="32" cm="1">
        <f t="array" ref="J271">ButterflyDelta($C124,$C125,$C126,$C127,J175,$C128,$C130)</f>
        <v>1.0161894993400306E-2</v>
      </c>
      <c r="K271" s="32" cm="1">
        <f t="array" ref="K271">ButterflyDelta($C124,$C125,$C126,$C127,K175,$C128,$C130)</f>
        <v>3.8752059970606739E-2</v>
      </c>
      <c r="L271" s="32" cm="1">
        <f t="array" ref="L271">ButterflyDelta($C124,$C125,$C126,$C127,L175,$C128,$C130)</f>
        <v>1.9283600433596237E-2</v>
      </c>
      <c r="M271" s="32" cm="1">
        <f t="array" ref="M271">ButterflyDelta($C124,$C125,$C126,$C127,M175,$C128,$C130)</f>
        <v>3.0654451858402831E-2</v>
      </c>
      <c r="N271" s="32" cm="1">
        <f t="array" ref="N271">ButterflyDelta($C124,$C125,$C126,$C127,N175,$C128,$C130)</f>
        <v>2.3350328161397701E-2</v>
      </c>
      <c r="O271" s="32" cm="1">
        <f t="array" ref="O271">ButterflyDelta($C124,$C125,$C126,$C127,O175,$C128,$C130)</f>
        <v>2.4713731446435443E-2</v>
      </c>
      <c r="P271" s="32" cm="1">
        <f t="array" ref="P271">ButterflyDelta($C124,$C125,$C126,$C127,P175,$C128,$C130)</f>
        <v>2.5054932054474781E-2</v>
      </c>
      <c r="Q271" s="32" cm="1">
        <f t="array" ref="Q271">ButterflyDelta($C124,$C125,$C126,$C127,Q175,$C128,$C130)</f>
        <v>2.0557467065521012E-2</v>
      </c>
      <c r="R271" s="32" cm="1">
        <f t="array" ref="R271">ButterflyDelta($C124,$C125,$C126,$C127,R175,$C128,$C130)</f>
        <v>2.5572989291959065E-2</v>
      </c>
      <c r="S271" s="32" cm="1">
        <f t="array" ref="S271">ButterflyDelta($C124,$C125,$C126,$C127,S175,$C128,$C130)</f>
        <v>2.187468932564764E-2</v>
      </c>
      <c r="T271" s="32" cm="1">
        <f t="array" ref="T271">ButterflyDelta($C124,$C125,$C126,$C127,T175,$C128,$C130)</f>
        <v>2.5469719579100193E-2</v>
      </c>
      <c r="U271" s="32" cm="1">
        <f t="array" ref="U271">ButterflyDelta($C124,$C125,$C126,$C127,U175,$C128,$C130)</f>
        <v>2.3591273987048005E-2</v>
      </c>
      <c r="V271" s="32" cm="1">
        <f t="array" ref="V271">ButterflyDelta($C124,$C125,$C126,$C127,V175,$C128,$C130)</f>
        <v>2.5036263689058664E-2</v>
      </c>
      <c r="W271" s="32" cm="1">
        <f t="array" ref="W271">ButterflyDelta($C124,$C125,$C126,$C127,W175,$C128,$C130)</f>
        <v>2.4580386355833723E-2</v>
      </c>
      <c r="X271" s="32" cm="1">
        <f t="array" ref="X271">ButterflyDelta($C124,$C125,$C126,$C127,X175,$C128,$C130)</f>
        <v>2.44302309990772E-2</v>
      </c>
      <c r="Y271" s="32" cm="1">
        <f t="array" ref="Y271">ButterflyDelta($C124,$C125,$C126,$C127,Y175,$C128,$C130)</f>
        <v>2.5088337277190821E-2</v>
      </c>
      <c r="Z271" s="32" cm="1">
        <f t="array" ref="Z271">ButterflyDelta($C124,$C125,$C126,$C127,Z175,$C128,$C130)</f>
        <v>2.3739987910525322E-2</v>
      </c>
      <c r="AA271" s="32" cm="1">
        <f t="array" ref="AA271">ButterflyDelta($C124,$C125,$C126,$C127,AA175,$C128,$C130)</f>
        <v>2.5273403115967791E-2</v>
      </c>
      <c r="AB271" s="32" cm="1">
        <f t="array" ref="AB271">ButterflyDelta($C124,$C125,$C126,$C127,AB175,$C128,$C130)</f>
        <v>2.3016208367170297E-2</v>
      </c>
      <c r="AC271" s="32" cm="1">
        <f t="array" ref="AC271">ButterflyDelta($C124,$C125,$C126,$C127,AC175,$C128,$C130)</f>
        <v>2.5239814334292818E-2</v>
      </c>
      <c r="AD271" s="32" cm="1">
        <f t="array" ref="AD271">ButterflyDelta($C124,$C125,$C126,$C127,AD175,$C128,$C130)</f>
        <v>2.2934976058802507E-2</v>
      </c>
      <c r="AE271" s="32" cm="1">
        <f t="array" ref="AE271">ButterflyDelta($C124,$C125,$C126,$C127,AE175,$C128,$C130)</f>
        <v>2.505764497427436E-2</v>
      </c>
      <c r="AF271" s="32" cm="1">
        <f t="array" ref="AF271">ButterflyDelta($C124,$C125,$C126,$C127,AF175,$C128,$C130)</f>
        <v>2.4557315975591219E-2</v>
      </c>
      <c r="AG271" s="32" cm="1">
        <f t="array" ref="AG271">ButterflyDelta($C124,$C125,$C126,$C127,AG175,$C128,$C130)</f>
        <v>2.4774827689973751E-2</v>
      </c>
      <c r="AH271" s="32" cm="1">
        <f t="array" ref="AH271">ButterflyDelta($C124,$C125,$C126,$C127,AH175,$C128,$C130)</f>
        <v>2.575653630629152E-2</v>
      </c>
      <c r="AI271" s="32" cm="1">
        <f t="array" ref="AI271">ButterflyDelta($C124,$C125,$C126,$C127,AI175,$C128,$C130)</f>
        <v>2.4424620664584562E-2</v>
      </c>
      <c r="AJ271" s="32" cm="1">
        <f t="array" ref="AJ271">ButterflyDelta($C124,$C125,$C126,$C127,AJ175,$C128,$C130)</f>
        <v>2.6630045951383317E-2</v>
      </c>
      <c r="AK271" s="32" cm="1">
        <f t="array" ref="AK271">ButterflyDelta($C124,$C125,$C126,$C127,AK175,$C128,$C130)</f>
        <v>2.4030366416541087E-2</v>
      </c>
      <c r="AL271" s="32" cm="1">
        <f t="array" ref="AL271">ButterflyDelta($C124,$C125,$C126,$C127,AL175,$C128,$C130)</f>
        <v>2.7250731705282975E-2</v>
      </c>
      <c r="AM271" s="32" cm="1">
        <f t="array" ref="AM271">ButterflyDelta($C124,$C125,$C126,$C127,AM175,$C128,$C130)</f>
        <v>2.3608593311204205E-2</v>
      </c>
      <c r="AN271" s="32" cm="1">
        <f t="array" ref="AN271">ButterflyDelta($C124,$C125,$C126,$C127,AN175,$C128,$C130)</f>
        <v>2.747659651163268E-2</v>
      </c>
      <c r="AO271" s="32" cm="1">
        <f t="array" ref="AO271">ButterflyDelta($C124,$C125,$C126,$C127,AO175,$C128,$C130)</f>
        <v>2.3171077589364302E-2</v>
      </c>
      <c r="AP271" s="32" cm="1">
        <f t="array" ref="AP271">ButterflyDelta($C124,$C125,$C126,$C127,AP175,$C128,$C130)</f>
        <v>2.7106187789544711E-2</v>
      </c>
      <c r="AQ271" s="32" cm="1">
        <f t="array" ref="AQ271">ButterflyDelta($C124,$C125,$C126,$C127,AQ175,$C128,$C130)</f>
        <v>2.2726238839558356E-2</v>
      </c>
      <c r="AR271" s="32" cm="1">
        <f t="array" ref="AR271">ButterflyDelta($C124,$C125,$C126,$C127,AR175,$C128,$C130)</f>
        <v>2.6716357016748918E-2</v>
      </c>
      <c r="AS271" s="32" cm="1">
        <f t="array" ref="AS271">ButterflyDelta($C124,$C125,$C126,$C127,AS175,$C128,$C130)</f>
        <v>2.2280099456612846E-2</v>
      </c>
      <c r="AT271" s="32" cm="1">
        <f t="array" ref="AT271">ButterflyDelta($C124,$C125,$C126,$C127,AT175,$C128,$C130)</f>
        <v>2.6314108999767424E-2</v>
      </c>
      <c r="AU271" s="32" cm="1">
        <f t="array" ref="AU271">ButterflyDelta($C124,$C125,$C126,$C127,AU175,$C128,$C130)</f>
        <v>2.310744717241869E-2</v>
      </c>
      <c r="AV271" s="32" cm="1">
        <f t="array" ref="AV271">ButterflyDelta($C124,$C125,$C126,$C127,AV175,$C128,$C130)</f>
        <v>2.5904817293444852E-2</v>
      </c>
      <c r="AW271" s="32" cm="1">
        <f t="array" ref="AW271">ButterflyDelta($C124,$C125,$C126,$C127,AW175,$C128,$C130)</f>
        <v>2.3762667295416089E-2</v>
      </c>
      <c r="AX271" s="32" cm="1">
        <f t="array" ref="AX271">ButterflyDelta($C124,$C125,$C126,$C127,AX175,$C128,$C130)</f>
        <v>2.5492601468684505E-2</v>
      </c>
      <c r="AY271" s="32" cm="1">
        <f t="array" ref="AY271">ButterflyDelta($C124,$C125,$C126,$C127,AY175,$C128,$C130)</f>
        <v>2.4288935385187158E-2</v>
      </c>
      <c r="AZ271" s="32" cm="1">
        <f t="array" ref="AZ271">ButterflyDelta($C124,$C125,$C126,$C127,AZ175,$C128,$C130)</f>
        <v>2.5080612995785956E-2</v>
      </c>
      <c r="BA271" s="32" cm="1">
        <f t="array" ref="BA271">ButterflyDelta($C124,$C125,$C126,$C127,BA175,$C128,$C130)</f>
        <v>2.470654311077566E-2</v>
      </c>
      <c r="BB271" s="32" cm="1">
        <f t="array" ref="BB271">ButterflyDelta($C124,$C125,$C126,$C127,BB175,$C128,$C130)</f>
        <v>2.4671253020957698E-2</v>
      </c>
      <c r="BC271" s="32" cm="1">
        <f t="array" ref="BC271">ButterflyDelta($C124,$C125,$C126,$C127,BC175,$C128,$C130)</f>
        <v>2.5032303671338699E-2</v>
      </c>
      <c r="BD271" s="32" cm="1">
        <f t="array" ref="BD271">ButterflyDelta($C124,$C125,$C126,$C127,BD175,$C128,$C130)</f>
        <v>2.4266339136668685E-2</v>
      </c>
      <c r="BE271" s="32" cm="1">
        <f t="array" ref="BE271">ButterflyDelta($C124,$C125,$C126,$C127,BE175,$C128,$C130)</f>
        <v>2.5280216392314044E-2</v>
      </c>
      <c r="BF271" s="32" cm="1">
        <f t="array" ref="BF271">ButterflyDelta($C124,$C125,$C126,$C127,BF175,$C128,$C130)</f>
        <v>2.3867233748931099E-2</v>
      </c>
      <c r="BG271" s="32" cm="1">
        <f t="array" ref="BG271">ButterflyDelta($C124,$C125,$C126,$C127,BG175,$C128,$C130)</f>
        <v>2.5461990917459858E-2</v>
      </c>
      <c r="BH271" s="32" cm="1">
        <f t="array" ref="BH271">ButterflyDelta($C124,$C125,$C126,$C127,BH175,$C128,$C130)</f>
        <v>2.3474943370879044E-2</v>
      </c>
      <c r="BI271" s="32" cm="1">
        <f t="array" ref="BI271">ButterflyDelta($C124,$C125,$C126,$C127,BI175,$C128,$C130)</f>
        <v>2.5587463393463104E-2</v>
      </c>
      <c r="BJ271" s="32" cm="1">
        <f t="array" ref="BJ271">ButterflyDelta($C124,$C125,$C126,$C127,BJ175,$C128,$C130)</f>
        <v>2.3090195783756054E-2</v>
      </c>
      <c r="BK271" s="32" cm="1">
        <f t="array" ref="BK271">ButterflyDelta($C124,$C125,$C126,$C127,BK175,$C128,$C130)</f>
        <v>2.5664928976461894E-2</v>
      </c>
      <c r="BL271" s="32" cm="1">
        <f t="array" ref="BL271">ButterflyDelta($C124,$C125,$C126,$C127,BL175,$C128,$C130)</f>
        <v>2.2715435883869775E-2</v>
      </c>
      <c r="BM271" s="32" cm="1">
        <f t="array" ref="BM271">ButterflyDelta($C124,$C125,$C126,$C127,BM175,$C128,$C130)</f>
        <v>2.5701409067154582E-2</v>
      </c>
      <c r="BN271" s="32" cm="1">
        <f t="array" ref="BN271">ButterflyDelta($C124,$C125,$C126,$C127,BN175,$C128,$C130)</f>
        <v>2.3118985538421222E-2</v>
      </c>
      <c r="BO271" s="32" cm="1">
        <f t="array" ref="BO271">ButterflyDelta($C124,$C125,$C126,$C127,BO175,$C128,$C130)</f>
        <v>2.5702867300880256E-2</v>
      </c>
      <c r="BP271" s="32" cm="1">
        <f t="array" ref="BP271">ButterflyDelta($C124,$C125,$C126,$C127,BP175,$C128,$C130)</f>
        <v>2.3460744466801471E-2</v>
      </c>
      <c r="BQ271" s="32" cm="1">
        <f t="array" ref="BQ271">ButterflyDelta($C124,$C125,$C126,$C127,BQ175,$C128,$C130)</f>
        <v>2.5674385054785826E-2</v>
      </c>
      <c r="BR271" s="32" cm="1">
        <f t="array" ref="BR271">ButterflyDelta($C124,$C125,$C126,$C127,BR175,$C128,$C130)</f>
        <v>2.3747978734577645E-2</v>
      </c>
      <c r="BS271" s="32" cm="1">
        <f t="array" ref="BS271">ButterflyDelta($C124,$C125,$C126,$C127,BS175,$C128,$C130)</f>
        <v>2.5620304784725663E-2</v>
      </c>
      <c r="BT271" s="32" cm="1">
        <f t="array" ref="BT271">ButterflyDelta($C124,$C125,$C126,$C127,BT175,$C128,$C130)</f>
        <v>2.3987024565505766E-2</v>
      </c>
      <c r="BU271" s="32" cm="1">
        <f t="array" ref="BU271">ButterflyDelta($C124,$C125,$C126,$C127,BU175,$C128,$C130)</f>
        <v>2.5544347653398691E-2</v>
      </c>
      <c r="BV271" s="32" cm="1">
        <f t="array" ref="BV271">ButterflyDelta($C124,$C125,$C126,$C127,BV175,$C128,$C130)</f>
        <v>2.4183421209528787E-2</v>
      </c>
      <c r="BW271" s="32" cm="1">
        <f t="array" ref="BW271">ButterflyDelta($C124,$C125,$C126,$C127,BW175,$C128,$C130)</f>
        <v>2.5449710502980807E-2</v>
      </c>
      <c r="BX271" s="32" cm="1">
        <f t="array" ref="BX271">ButterflyDelta($C124,$C125,$C126,$C127,BX175,$C128,$C130)</f>
        <v>2.4342022787553191E-2</v>
      </c>
      <c r="BY271" s="32" cm="1">
        <f t="array" ref="BY271">ButterflyDelta($C124,$C125,$C126,$C127,BY175,$C128,$C130)</f>
        <v>2.5339146147187332E-2</v>
      </c>
      <c r="BZ271" s="32" cm="1">
        <f t="array" ref="BZ271">ButterflyDelta($C124,$C125,$C126,$C127,BZ175,$C128,$C130)</f>
        <v>2.446709274563531E-2</v>
      </c>
      <c r="CA271" s="32" cm="1">
        <f t="array" ref="CA271">ButterflyDelta($C124,$C125,$C126,$C127,CA175,$C128,$C130)</f>
        <v>2.5215030126992215E-2</v>
      </c>
      <c r="CB271" s="32" cm="1">
        <f t="array" ref="CB271">ButterflyDelta($C124,$C125,$C126,$C127,CB175,$C128,$C130)</f>
        <v>2.4562383875503663E-2</v>
      </c>
      <c r="CC271" s="32" cm="1">
        <f t="array" ref="CC271">ButterflyDelta($C124,$C125,$C126,$C127,CC175,$C128,$C130)</f>
        <v>2.5079416430378511E-2</v>
      </c>
      <c r="CD271" s="32" cm="1">
        <f t="array" ref="CD271">ButterflyDelta($C124,$C125,$C126,$C127,CD175,$C128,$C130)</f>
        <v>2.4631206316115057E-2</v>
      </c>
      <c r="CE271" s="32" cm="1">
        <f t="array" ref="CE271">ButterflyDelta($C124,$C125,$C126,$C127,CE175,$C128,$C130)</f>
        <v>2.4934084174633202E-2</v>
      </c>
      <c r="CF271" s="32" cm="1">
        <f t="array" ref="CF271">ButterflyDelta($C124,$C125,$C126,$C127,CF175,$C128,$C130)</f>
        <v>2.4676485514390847E-2</v>
      </c>
      <c r="CG271" s="32" cm="1">
        <f t="array" ref="CG271">ButterflyDelta($C124,$C125,$C126,$C127,CG175,$C128,$C130)</f>
        <v>2.4780576856381138E-2</v>
      </c>
      <c r="CH271" s="32" cm="1">
        <f t="array" ref="CH271">ButterflyDelta($C124,$C125,$C126,$C127,CH175,$C128,$C130)</f>
        <v>2.4700811770955473E-2</v>
      </c>
      <c r="CI271" s="32" cm="1">
        <f t="array" ref="CI271">ButterflyDelta($C124,$C125,$C126,$C127,CI175,$C128,$C130)</f>
        <v>2.4698613044942481E-2</v>
      </c>
      <c r="CJ271" s="32" cm="1">
        <f t="array" ref="CJ271">ButterflyDelta($C124,$C125,$C126,$C127,CJ175,$C128,$C130)</f>
        <v>2.4706482711556763E-2</v>
      </c>
      <c r="CK271" s="32" cm="1">
        <f t="array" ref="CK271">ButterflyDelta($C124,$C125,$C126,$C127,CK175,$C128,$C130)</f>
        <v>2.4811107598668423E-2</v>
      </c>
      <c r="CL271" s="32" cm="1">
        <f t="array" ref="CL271">ButterflyDelta($C124,$C125,$C126,$C127,CL175,$C128,$C130)</f>
        <v>2.4695539793064776E-2</v>
      </c>
      <c r="CM271" s="32" cm="1">
        <f t="array" ref="CM271">ButterflyDelta($C124,$C125,$C126,$C127,CM175,$C128,$C130)</f>
        <v>2.4901873805758305E-2</v>
      </c>
      <c r="CN271" s="32" cm="1">
        <f t="array" ref="CN271">ButterflyDelta($C124,$C125,$C126,$C127,CN175,$C128,$C130)</f>
        <v>2.4669799764336215E-2</v>
      </c>
      <c r="CO271" s="32" cm="1">
        <f t="array" ref="CO271">ButterflyDelta($C124,$C125,$C126,$C127,CO175,$C128,$C130)</f>
        <v>2.4972923968633442E-2</v>
      </c>
      <c r="CP271" s="32" cm="1">
        <f t="array" ref="CP271">ButterflyDelta($C124,$C125,$C126,$C127,CP175,$C128,$C130)</f>
        <v>2.4630881847964539E-2</v>
      </c>
      <c r="CQ271" s="32" cm="1">
        <f t="array" ref="CQ271">ButterflyDelta($C124,$C125,$C126,$C127,CQ175,$C128,$C130)</f>
        <v>2.5026076365794257E-2</v>
      </c>
      <c r="CR271" s="32" cm="1">
        <f t="array" ref="CR271">ButterflyDelta($C124,$C125,$C126,$C127,CR175,$C128,$C130)</f>
        <v>2.4580231282452378E-2</v>
      </c>
      <c r="CS271" s="32" cm="1">
        <f t="array" ref="CS271">ButterflyDelta($C124,$C125,$C126,$C127,CS175,$C128,$C130)</f>
        <v>2.506297580222509E-2</v>
      </c>
      <c r="CT271" s="32" cm="1">
        <f t="array" ref="CT271">ButterflyDelta($C124,$C125,$C126,$C127,CT175,$C128,$C130)</f>
        <v>2.451913976043062E-2</v>
      </c>
      <c r="CU271" s="32" cm="1">
        <f t="array" ref="CU271">ButterflyDelta($C124,$C125,$C126,$C127,CU175,$C128,$C130)</f>
        <v>2.5085111780108749E-2</v>
      </c>
      <c r="CV271" s="32" cm="1">
        <f t="array" ref="CV271">ButterflyDelta($C124,$C125,$C126,$C127,CV175,$C128,$C130)</f>
        <v>2.4448763212702507E-2</v>
      </c>
      <c r="CW271" s="32" cm="1">
        <f t="array" ref="CW271">ButterflyDelta($C124,$C125,$C126,$C127,CW175,$C128,$C130)</f>
        <v>2.5093834585830182E-2</v>
      </c>
      <c r="CX271" s="32" cm="1">
        <f t="array" ref="CX271">ButterflyDelta($C124,$C125,$C126,$C127,CX175,$C128,$C130)</f>
        <v>2.4370137316985674E-2</v>
      </c>
      <c r="CY271" s="32"/>
      <c r="CZ271" s="32"/>
      <c r="DA271" s="32"/>
      <c r="DB271" s="32"/>
      <c r="DC271" s="32"/>
      <c r="DD271" s="32"/>
      <c r="DE271" s="32"/>
      <c r="DF271" s="32"/>
      <c r="DG271" s="32"/>
    </row>
    <row r="272" spans="3:111" ht="20.350000000000001" customHeight="1" x14ac:dyDescent="0.45">
      <c r="C272" s="47" t="s">
        <v>50</v>
      </c>
      <c r="D272" s="32">
        <f>LOG(ABS(D270-$D274))</f>
        <v>-0.79474437086385663</v>
      </c>
      <c r="E272" s="32">
        <f t="shared" ref="E272:BP272" si="59">LOG(ABS(E270-$D274))</f>
        <v>-1.8131657989728696</v>
      </c>
      <c r="F272" s="32">
        <f t="shared" si="59"/>
        <v>-0.27730634368296636</v>
      </c>
      <c r="G272" s="32">
        <f t="shared" si="59"/>
        <v>-0.23947976280032435</v>
      </c>
      <c r="H272" s="32">
        <f t="shared" si="59"/>
        <v>-0.14834186416533388</v>
      </c>
      <c r="I272" s="32">
        <f t="shared" si="59"/>
        <v>-0.15626189484391376</v>
      </c>
      <c r="J272" s="32">
        <f t="shared" si="59"/>
        <v>-0.2685398033819843</v>
      </c>
      <c r="K272" s="32">
        <f t="shared" si="59"/>
        <v>-0.15839473949295552</v>
      </c>
      <c r="L272" s="32">
        <f t="shared" si="59"/>
        <v>-0.52683630935158987</v>
      </c>
      <c r="M272" s="32">
        <f t="shared" si="59"/>
        <v>-0.39115240049213279</v>
      </c>
      <c r="N272" s="32">
        <f t="shared" si="59"/>
        <v>-0.80093206367612702</v>
      </c>
      <c r="O272" s="32">
        <f t="shared" si="59"/>
        <v>-0.80294093193743854</v>
      </c>
      <c r="P272" s="32">
        <f t="shared" si="59"/>
        <v>-1.1171266180272037</v>
      </c>
      <c r="Q272" s="32">
        <f t="shared" si="59"/>
        <v>-1.5114428184659203</v>
      </c>
      <c r="R272" s="32">
        <f t="shared" si="59"/>
        <v>-1.5407675245299151</v>
      </c>
      <c r="S272" s="32">
        <f t="shared" si="59"/>
        <v>-1.2307651543498606</v>
      </c>
      <c r="T272" s="32">
        <f t="shared" si="59"/>
        <v>-2.5839524367144144</v>
      </c>
      <c r="U272" s="32">
        <f t="shared" si="59"/>
        <v>-1.267296800338739</v>
      </c>
      <c r="V272" s="32">
        <f t="shared" si="59"/>
        <v>-2.0114002430874436</v>
      </c>
      <c r="W272" s="32">
        <f t="shared" si="59"/>
        <v>-1.2655602793499678</v>
      </c>
      <c r="X272" s="32">
        <f t="shared" si="59"/>
        <v>-1.8889663419194398</v>
      </c>
      <c r="Y272" s="32">
        <f t="shared" si="59"/>
        <v>-1.2350328778046245</v>
      </c>
      <c r="Z272" s="32">
        <f t="shared" si="59"/>
        <v>-2.0045743743509536</v>
      </c>
      <c r="AA272" s="32">
        <f t="shared" si="59"/>
        <v>-1.1875389785365711</v>
      </c>
      <c r="AB272" s="32">
        <f t="shared" si="59"/>
        <v>-2.5755775436088428</v>
      </c>
      <c r="AC272" s="32">
        <f t="shared" si="59"/>
        <v>-1.1325283413769005</v>
      </c>
      <c r="AD272" s="32">
        <f t="shared" si="59"/>
        <v>-2.0171800497778265</v>
      </c>
      <c r="AE272" s="32">
        <f t="shared" si="59"/>
        <v>-1.0759553096881995</v>
      </c>
      <c r="AF272" s="32">
        <f t="shared" si="59"/>
        <v>-1.2073943856398015</v>
      </c>
      <c r="AG272" s="32">
        <f t="shared" si="59"/>
        <v>-1.0210306044164088</v>
      </c>
      <c r="AH272" s="32">
        <f t="shared" si="59"/>
        <v>-0.97991335309146055</v>
      </c>
      <c r="AI272" s="32">
        <f t="shared" si="59"/>
        <v>-0.96925335167620197</v>
      </c>
      <c r="AJ272" s="32">
        <f t="shared" si="59"/>
        <v>-0.85539305538139976</v>
      </c>
      <c r="AK272" s="32">
        <f t="shared" si="59"/>
        <v>-0.9211718321740503</v>
      </c>
      <c r="AL272" s="32">
        <f t="shared" si="59"/>
        <v>-0.77528513623119055</v>
      </c>
      <c r="AM272" s="32">
        <f t="shared" si="59"/>
        <v>-0.87684442273603458</v>
      </c>
      <c r="AN272" s="32">
        <f t="shared" si="59"/>
        <v>-0.74837592535337061</v>
      </c>
      <c r="AO272" s="32">
        <f t="shared" si="59"/>
        <v>-0.83609551549691807</v>
      </c>
      <c r="AP272" s="32">
        <f t="shared" si="59"/>
        <v>-0.80620838716166765</v>
      </c>
      <c r="AQ272" s="32">
        <f t="shared" si="59"/>
        <v>-0.79865109836298098</v>
      </c>
      <c r="AR272" s="32">
        <f t="shared" si="59"/>
        <v>-0.86993564872855456</v>
      </c>
      <c r="AS272" s="32">
        <f t="shared" si="59"/>
        <v>-0.76420809382883492</v>
      </c>
      <c r="AT272" s="32">
        <f t="shared" si="59"/>
        <v>-0.94143006558381492</v>
      </c>
      <c r="AU272" s="32">
        <f t="shared" si="59"/>
        <v>-0.82917804280613217</v>
      </c>
      <c r="AV272" s="32">
        <f t="shared" si="59"/>
        <v>-1.0234942246803556</v>
      </c>
      <c r="AW272" s="32">
        <f t="shared" si="59"/>
        <v>-0.91313632747100348</v>
      </c>
      <c r="AX272" s="32">
        <f t="shared" si="59"/>
        <v>-1.1206459514447953</v>
      </c>
      <c r="AY272" s="32">
        <f t="shared" si="59"/>
        <v>-1.0027975394663473</v>
      </c>
      <c r="AZ272" s="32">
        <f t="shared" si="59"/>
        <v>-1.240935664495098</v>
      </c>
      <c r="BA272" s="32">
        <f t="shared" si="59"/>
        <v>-1.0999579822684644</v>
      </c>
      <c r="BB272" s="32">
        <f t="shared" si="59"/>
        <v>-1.4010431541553829</v>
      </c>
      <c r="BC272" s="32">
        <f t="shared" si="59"/>
        <v>-1.2072819588523571</v>
      </c>
      <c r="BD272" s="32">
        <f t="shared" si="59"/>
        <v>-1.646058641311738</v>
      </c>
      <c r="BE272" s="32">
        <f t="shared" si="59"/>
        <v>-1.3290048056107024</v>
      </c>
      <c r="BF272" s="32">
        <f t="shared" si="59"/>
        <v>-2.2208465877721175</v>
      </c>
      <c r="BG272" s="32">
        <f t="shared" si="59"/>
        <v>-1.4725294637935149</v>
      </c>
      <c r="BH272" s="32">
        <f t="shared" si="59"/>
        <v>-1.9979122977752373</v>
      </c>
      <c r="BI272" s="32">
        <f t="shared" si="59"/>
        <v>-1.6527628365062026</v>
      </c>
      <c r="BJ272" s="32">
        <f t="shared" si="59"/>
        <v>-1.5913708955747992</v>
      </c>
      <c r="BK272" s="32">
        <f t="shared" si="59"/>
        <v>-1.9079669008964812</v>
      </c>
      <c r="BL272" s="32">
        <f t="shared" si="59"/>
        <v>-1.3905627472078936</v>
      </c>
      <c r="BM272" s="32">
        <f t="shared" si="59"/>
        <v>-2.4129310901323757</v>
      </c>
      <c r="BN272" s="32">
        <f t="shared" si="59"/>
        <v>-1.4585129739483624</v>
      </c>
      <c r="BO272" s="32">
        <f t="shared" si="59"/>
        <v>-2.469646339943274</v>
      </c>
      <c r="BP272" s="32">
        <f t="shared" si="59"/>
        <v>-1.5265248255340151</v>
      </c>
      <c r="BQ272" s="32">
        <f t="shared" ref="BQ272:CX272" si="60">LOG(ABS(BQ270-$D274))</f>
        <v>-2.0206243190966213</v>
      </c>
      <c r="BR272" s="32">
        <f t="shared" si="60"/>
        <v>-1.5938241505818382</v>
      </c>
      <c r="BS272" s="32">
        <f t="shared" si="60"/>
        <v>-1.8331111455631126</v>
      </c>
      <c r="BT272" s="32">
        <f t="shared" si="60"/>
        <v>-1.6593218665958789</v>
      </c>
      <c r="BU272" s="32">
        <f t="shared" si="60"/>
        <v>-1.7226072934111587</v>
      </c>
      <c r="BV272" s="32">
        <f t="shared" si="60"/>
        <v>-1.7215608130711657</v>
      </c>
      <c r="BW272" s="32">
        <f t="shared" si="60"/>
        <v>-1.6499209713344036</v>
      </c>
      <c r="BX272" s="32">
        <f t="shared" si="60"/>
        <v>-1.7787067605677866</v>
      </c>
      <c r="BY272" s="32">
        <f t="shared" si="60"/>
        <v>-1.6000221431736183</v>
      </c>
      <c r="BZ272" s="32">
        <f t="shared" si="60"/>
        <v>-1.828628783895561</v>
      </c>
      <c r="CA272" s="32">
        <f t="shared" si="60"/>
        <v>-1.5655814613404404</v>
      </c>
      <c r="CB272" s="32">
        <f t="shared" si="60"/>
        <v>-1.8691123892130832</v>
      </c>
      <c r="CC272" s="32">
        <f t="shared" si="60"/>
        <v>-1.5425152865333318</v>
      </c>
      <c r="CD272" s="32">
        <f t="shared" si="60"/>
        <v>-1.898210173023839</v>
      </c>
      <c r="CE272" s="32">
        <f t="shared" si="60"/>
        <v>-1.5283579860823846</v>
      </c>
      <c r="CF272" s="32">
        <f t="shared" si="60"/>
        <v>-1.9146544237762491</v>
      </c>
      <c r="CG272" s="32">
        <f t="shared" si="60"/>
        <v>-1.5215518292102905</v>
      </c>
      <c r="CH272" s="32">
        <f t="shared" si="60"/>
        <v>-1.9181769355092628</v>
      </c>
      <c r="CI272" s="32">
        <f t="shared" si="60"/>
        <v>-1.5273933801378707</v>
      </c>
      <c r="CJ272" s="32">
        <f t="shared" si="60"/>
        <v>-1.9095831526778932</v>
      </c>
      <c r="CK272" s="32">
        <f t="shared" si="60"/>
        <v>-1.529965415823233</v>
      </c>
      <c r="CL272" s="32">
        <f t="shared" si="60"/>
        <v>-1.8905418377932719</v>
      </c>
      <c r="CM272" s="32">
        <f t="shared" si="60"/>
        <v>-1.5363209795985797</v>
      </c>
      <c r="CN272" s="32">
        <f t="shared" si="60"/>
        <v>-1.8631971610650619</v>
      </c>
      <c r="CO272" s="32">
        <f t="shared" si="60"/>
        <v>-1.5463535374426367</v>
      </c>
      <c r="CP272" s="32">
        <f t="shared" si="60"/>
        <v>-1.8297714951107813</v>
      </c>
      <c r="CQ272" s="32">
        <f t="shared" si="60"/>
        <v>-1.5600570383334009</v>
      </c>
      <c r="CR272" s="32">
        <f t="shared" si="60"/>
        <v>-1.7922793417981751</v>
      </c>
      <c r="CS272" s="32">
        <f t="shared" si="60"/>
        <v>-1.5775254201916249</v>
      </c>
      <c r="CT272" s="32">
        <f t="shared" si="60"/>
        <v>-1.7523841666945417</v>
      </c>
      <c r="CU272" s="32">
        <f t="shared" si="60"/>
        <v>-1.5989610890828649</v>
      </c>
      <c r="CV272" s="32">
        <f t="shared" si="60"/>
        <v>-1.711368484000211</v>
      </c>
      <c r="CW272" s="32">
        <f t="shared" si="60"/>
        <v>-1.6246940430223669</v>
      </c>
      <c r="CX272" s="32">
        <f t="shared" si="60"/>
        <v>-1.6701696054732449</v>
      </c>
      <c r="CY272" s="32"/>
      <c r="CZ272" s="32"/>
      <c r="DA272" s="32"/>
      <c r="DB272" s="32"/>
      <c r="DC272" s="32"/>
      <c r="DD272" s="32"/>
      <c r="DE272" s="32"/>
      <c r="DF272" s="32"/>
      <c r="DG272" s="32"/>
    </row>
    <row r="273" spans="3:111" ht="20.350000000000001" customHeight="1" x14ac:dyDescent="0.45">
      <c r="C273" s="47" t="s">
        <v>51</v>
      </c>
      <c r="D273" s="32">
        <f>LOG(ABS(D271-$D275))</f>
        <v>-1.6068386210438395</v>
      </c>
      <c r="E273" s="32">
        <f t="shared" ref="E273:BP273" si="61">LOG(ABS(E271-$D275))</f>
        <v>-1.6515971609465883</v>
      </c>
      <c r="F273" s="32">
        <f t="shared" si="61"/>
        <v>-1.6068386210438395</v>
      </c>
      <c r="G273" s="32">
        <f t="shared" si="61"/>
        <v>-1.6051313514557799</v>
      </c>
      <c r="H273" s="32">
        <f t="shared" si="61"/>
        <v>-1.6068386210438395</v>
      </c>
      <c r="I273" s="32">
        <f t="shared" si="61"/>
        <v>-1.7133480626100128</v>
      </c>
      <c r="J273" s="32">
        <f t="shared" si="61"/>
        <v>-1.8367034416915053</v>
      </c>
      <c r="K273" s="32">
        <f t="shared" si="61"/>
        <v>-1.8530775550812932</v>
      </c>
      <c r="L273" s="32">
        <f t="shared" si="61"/>
        <v>-2.2641754397468858</v>
      </c>
      <c r="M273" s="32">
        <f t="shared" si="61"/>
        <v>-2.227090042944821</v>
      </c>
      <c r="N273" s="32">
        <f t="shared" si="61"/>
        <v>-2.8613501171867584</v>
      </c>
      <c r="O273" s="32">
        <f t="shared" si="61"/>
        <v>-4.8963207732475089</v>
      </c>
      <c r="P273" s="32">
        <f t="shared" si="61"/>
        <v>-3.48345900995202</v>
      </c>
      <c r="Q273" s="32">
        <f t="shared" si="61"/>
        <v>-2.3799721946080235</v>
      </c>
      <c r="R273" s="32">
        <f t="shared" si="61"/>
        <v>-3.0723414937018045</v>
      </c>
      <c r="S273" s="32">
        <f t="shared" si="61"/>
        <v>-2.5448903040572892</v>
      </c>
      <c r="T273" s="32">
        <f t="shared" si="61"/>
        <v>-3.1288406742577224</v>
      </c>
      <c r="U273" s="32">
        <f t="shared" si="61"/>
        <v>-2.944945285284057</v>
      </c>
      <c r="V273" s="32">
        <f t="shared" si="61"/>
        <v>-3.5088682872200736</v>
      </c>
      <c r="W273" s="32">
        <f t="shared" si="61"/>
        <v>-3.8355238620594982</v>
      </c>
      <c r="X273" s="32">
        <f t="shared" si="61"/>
        <v>-3.5284196270168615</v>
      </c>
      <c r="Y273" s="32">
        <f t="shared" si="61"/>
        <v>-3.4414000517056755</v>
      </c>
      <c r="Z273" s="32">
        <f t="shared" si="61"/>
        <v>-3.0059293713217388</v>
      </c>
      <c r="AA273" s="32">
        <f t="shared" si="61"/>
        <v>-3.2620322772460799</v>
      </c>
      <c r="AB273" s="32">
        <f t="shared" si="61"/>
        <v>-2.7669481614617943</v>
      </c>
      <c r="AC273" s="32">
        <f t="shared" si="61"/>
        <v>-3.2895555321119687</v>
      </c>
      <c r="AD273" s="32">
        <f t="shared" si="61"/>
        <v>-2.7467948849786681</v>
      </c>
      <c r="AE273" s="32">
        <f t="shared" si="61"/>
        <v>-3.4798871606481745</v>
      </c>
      <c r="AF273" s="32">
        <f t="shared" si="61"/>
        <v>-3.7718260087667956</v>
      </c>
      <c r="AG273" s="32">
        <f t="shared" si="61"/>
        <v>-4.3151556830013336</v>
      </c>
      <c r="AH273" s="32">
        <f t="shared" si="61"/>
        <v>-2.9871170292511566</v>
      </c>
      <c r="AI273" s="32">
        <f t="shared" si="61"/>
        <v>-3.5202704875165156</v>
      </c>
      <c r="AJ273" s="32">
        <f t="shared" si="61"/>
        <v>-2.7204201642267911</v>
      </c>
      <c r="AK273" s="32">
        <f t="shared" si="61"/>
        <v>-3.1573524556498653</v>
      </c>
      <c r="AL273" s="32">
        <f t="shared" si="61"/>
        <v>-2.5978583619217548</v>
      </c>
      <c r="AM273" s="32">
        <f t="shared" si="61"/>
        <v>-2.9516224926450114</v>
      </c>
      <c r="AN273" s="32">
        <f t="shared" si="61"/>
        <v>-2.5606406641672628</v>
      </c>
      <c r="AO273" s="32">
        <f t="shared" si="61"/>
        <v>-2.8081718058664151</v>
      </c>
      <c r="AP273" s="32">
        <f t="shared" si="61"/>
        <v>-2.6234668426282575</v>
      </c>
      <c r="AQ273" s="32">
        <f t="shared" si="61"/>
        <v>-2.6989289726473431</v>
      </c>
      <c r="AR273" s="32">
        <f t="shared" si="61"/>
        <v>-2.7011623728863663</v>
      </c>
      <c r="AS273" s="32">
        <f t="shared" si="61"/>
        <v>-2.6114852517446399</v>
      </c>
      <c r="AT273" s="32">
        <f t="shared" si="61"/>
        <v>-2.7992366995530635</v>
      </c>
      <c r="AU273" s="32">
        <f t="shared" si="61"/>
        <v>-2.7907583461866143</v>
      </c>
      <c r="AV273" s="32">
        <f t="shared" si="61"/>
        <v>-2.9287111406870578</v>
      </c>
      <c r="AW273" s="32">
        <f t="shared" si="61"/>
        <v>-3.0160308724066831</v>
      </c>
      <c r="AX273" s="32">
        <f t="shared" si="61"/>
        <v>-3.1156727812469884</v>
      </c>
      <c r="AY273" s="32">
        <f t="shared" si="61"/>
        <v>-3.3590294659706625</v>
      </c>
      <c r="AZ273" s="32">
        <f t="shared" si="61"/>
        <v>-3.450769603224856</v>
      </c>
      <c r="BA273" s="32">
        <f t="shared" si="61"/>
        <v>-4.7014810525113262</v>
      </c>
      <c r="BB273" s="32">
        <f t="shared" si="61"/>
        <v>-4.2582593470451418</v>
      </c>
      <c r="BC273" s="32">
        <f t="shared" si="61"/>
        <v>-3.5144547895566003</v>
      </c>
      <c r="BD273" s="32">
        <f t="shared" si="61"/>
        <v>-3.3371584616629173</v>
      </c>
      <c r="BE273" s="32">
        <f t="shared" si="61"/>
        <v>-3.2566559996976077</v>
      </c>
      <c r="BF273" s="32">
        <f t="shared" si="61"/>
        <v>-3.0659087353920453</v>
      </c>
      <c r="BG273" s="32">
        <f t="shared" si="61"/>
        <v>-3.1333800590184882</v>
      </c>
      <c r="BH273" s="32">
        <f t="shared" si="61"/>
        <v>-2.9025745472638125</v>
      </c>
      <c r="BI273" s="32">
        <f t="shared" si="61"/>
        <v>-3.0649788985484063</v>
      </c>
      <c r="BJ273" s="32">
        <f t="shared" si="61"/>
        <v>-2.7861551120298254</v>
      </c>
      <c r="BK273" s="32">
        <f t="shared" si="61"/>
        <v>-3.0275651815896869</v>
      </c>
      <c r="BL273" s="32">
        <f t="shared" si="61"/>
        <v>-2.6965896738140391</v>
      </c>
      <c r="BM273" s="32">
        <f t="shared" si="61"/>
        <v>-3.0110037314056739</v>
      </c>
      <c r="BN273" s="32">
        <f t="shared" si="61"/>
        <v>-2.7938646160093228</v>
      </c>
      <c r="BO273" s="32">
        <f t="shared" si="61"/>
        <v>-3.0103546627959816</v>
      </c>
      <c r="BP273" s="32">
        <f t="shared" si="61"/>
        <v>-2.8976749365536913</v>
      </c>
      <c r="BQ273" s="32">
        <f t="shared" ref="BQ273:CX273" si="62">LOG(ABS(BQ271-$D275))</f>
        <v>-3.0232112483225944</v>
      </c>
      <c r="BR273" s="32">
        <f t="shared" si="62"/>
        <v>-3.0094617744051768</v>
      </c>
      <c r="BS273" s="32">
        <f t="shared" si="62"/>
        <v>-3.048722247768076</v>
      </c>
      <c r="BT273" s="32">
        <f t="shared" si="62"/>
        <v>-3.1311186501966239</v>
      </c>
      <c r="BU273" s="32">
        <f t="shared" si="62"/>
        <v>-3.0872892534304612</v>
      </c>
      <c r="BV273" s="32">
        <f t="shared" si="62"/>
        <v>-3.2651948942327396</v>
      </c>
      <c r="BW273" s="32">
        <f t="shared" si="62"/>
        <v>-3.1406919245985545</v>
      </c>
      <c r="BX273" s="32">
        <f t="shared" si="62"/>
        <v>-3.4152109507621771</v>
      </c>
      <c r="BY273" s="32">
        <f t="shared" si="62"/>
        <v>-3.2127391195276833</v>
      </c>
      <c r="BZ273" s="32">
        <f t="shared" si="62"/>
        <v>-3.5861387648935077</v>
      </c>
      <c r="CA273" s="32">
        <f t="shared" si="62"/>
        <v>-3.3110444746927405</v>
      </c>
      <c r="CB273" s="32">
        <f t="shared" si="62"/>
        <v>-3.7850398325103152</v>
      </c>
      <c r="CC273" s="32">
        <f t="shared" si="62"/>
        <v>-3.4522392907042025</v>
      </c>
      <c r="CD273" s="32">
        <f t="shared" si="62"/>
        <v>-4.0212650258127969</v>
      </c>
      <c r="CE273" s="32">
        <f t="shared" si="62"/>
        <v>-3.68265474575509</v>
      </c>
      <c r="CF273" s="32">
        <f t="shared" si="62"/>
        <v>-4.3015315304347741</v>
      </c>
      <c r="CG273" s="32">
        <f t="shared" si="62"/>
        <v>-4.2664091584123351</v>
      </c>
      <c r="CH273" s="32">
        <f t="shared" si="62"/>
        <v>-4.5914880845945207</v>
      </c>
      <c r="CI273" s="32">
        <f t="shared" si="62"/>
        <v>-4.5557246603541746</v>
      </c>
      <c r="CJ273" s="32">
        <f t="shared" si="62"/>
        <v>-4.7001638943096564</v>
      </c>
      <c r="CK273" s="32">
        <f t="shared" si="62"/>
        <v>-4.0722202160081311</v>
      </c>
      <c r="CL273" s="32">
        <f t="shared" si="62"/>
        <v>-4.510210023967252</v>
      </c>
      <c r="CM273" s="32">
        <f t="shared" si="62"/>
        <v>-3.7558565304063238</v>
      </c>
      <c r="CN273" s="32">
        <f t="shared" si="62"/>
        <v>-4.2469684540555885</v>
      </c>
      <c r="CO273" s="32">
        <f t="shared" si="62"/>
        <v>-3.6081898379742952</v>
      </c>
      <c r="CP273" s="32">
        <f t="shared" si="62"/>
        <v>-4.0197876787689291</v>
      </c>
      <c r="CQ273" s="32">
        <f t="shared" si="62"/>
        <v>-3.5233878058905548</v>
      </c>
      <c r="CR273" s="32">
        <f t="shared" si="62"/>
        <v>-3.8350629533070077</v>
      </c>
      <c r="CS273" s="32">
        <f t="shared" si="62"/>
        <v>-3.4729529913565647</v>
      </c>
      <c r="CT273" s="32">
        <f t="shared" si="62"/>
        <v>-3.6834257423910004</v>
      </c>
      <c r="CU273" s="32">
        <f t="shared" si="62"/>
        <v>-3.4452880275137781</v>
      </c>
      <c r="CV273" s="32">
        <f t="shared" si="62"/>
        <v>-3.5564794956355086</v>
      </c>
      <c r="CW273" s="32">
        <f t="shared" si="62"/>
        <v>-3.4348528343001115</v>
      </c>
      <c r="CX273" s="32">
        <f t="shared" si="62"/>
        <v>-3.4481957702745487</v>
      </c>
      <c r="CY273" s="32"/>
      <c r="CZ273" s="32"/>
      <c r="DA273" s="32"/>
      <c r="DB273" s="32"/>
      <c r="DC273" s="32"/>
      <c r="DD273" s="32"/>
      <c r="DE273" s="32"/>
      <c r="DF273" s="32"/>
      <c r="DG273" s="32"/>
    </row>
    <row r="274" spans="3:111" ht="20.350000000000001" customHeight="1" x14ac:dyDescent="0.45">
      <c r="C274" s="47" t="s">
        <v>64</v>
      </c>
      <c r="D274" s="32">
        <f xml:space="preserve"> C124*(_xlfn.NORM.S.DIST(H250,TRUE)
        -2*_xlfn.NORM.S.DIST(K275,TRUE)
        +_xlfn.NORM.S.DIST(H251,TRUE))
  -EXP(-C125*C127)*
    (C128*_xlfn.NORM.S.DIST(H250-C126*SQRT(C127),TRUE)
     -2*K274*_xlfn.NORM.S.DIST(K275-C126*SQRT(C127),TRUE)
     +C130*_xlfn.NORM.S.DIST(H251-C126*SQRT(C127),TRUE))</f>
        <v>1.6178847292979008</v>
      </c>
      <c r="E274" s="32">
        <f>D274</f>
        <v>1.6178847292979008</v>
      </c>
      <c r="F274" s="32">
        <f>D275</f>
        <v>2.472642780639428E-2</v>
      </c>
      <c r="G274" s="32"/>
      <c r="H274" s="32"/>
      <c r="I274" s="32"/>
      <c r="J274" s="32" t="s">
        <v>77</v>
      </c>
      <c r="K274" s="32">
        <f>(C128+C130)/2</f>
        <v>110</v>
      </c>
      <c r="L274" s="32"/>
      <c r="M274" s="32"/>
      <c r="N274" s="32"/>
      <c r="O274" s="32"/>
      <c r="P274" s="32"/>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c r="AP274" s="32"/>
      <c r="AQ274" s="32"/>
      <c r="AR274" s="32"/>
      <c r="AS274" s="32"/>
      <c r="AT274" s="32"/>
      <c r="AU274" s="32"/>
      <c r="AV274" s="32"/>
      <c r="AW274" s="32"/>
      <c r="AX274" s="32"/>
      <c r="AY274" s="32"/>
      <c r="AZ274" s="32"/>
      <c r="BA274" s="32"/>
      <c r="BB274" s="32"/>
      <c r="BC274" s="32"/>
      <c r="BD274" s="32"/>
      <c r="BE274" s="32"/>
      <c r="BF274" s="32"/>
      <c r="BG274" s="32"/>
      <c r="BH274" s="32"/>
      <c r="BI274" s="32"/>
      <c r="BJ274" s="32"/>
      <c r="BK274" s="32"/>
      <c r="BL274" s="32"/>
      <c r="BM274" s="32"/>
      <c r="BN274" s="32"/>
      <c r="BO274" s="32"/>
      <c r="BP274" s="32"/>
      <c r="BQ274" s="32"/>
      <c r="BR274" s="32"/>
      <c r="BS274" s="32"/>
      <c r="BT274" s="32"/>
      <c r="BU274" s="32"/>
      <c r="BV274" s="32"/>
      <c r="BW274" s="32"/>
      <c r="BX274" s="32"/>
      <c r="BY274" s="32"/>
      <c r="BZ274" s="32"/>
      <c r="CA274" s="32"/>
      <c r="CB274" s="32"/>
      <c r="CC274" s="32"/>
      <c r="CD274" s="32"/>
      <c r="CE274" s="32"/>
      <c r="CF274" s="32"/>
      <c r="CG274" s="32"/>
      <c r="CH274" s="32"/>
      <c r="CI274" s="32"/>
      <c r="CJ274" s="32"/>
      <c r="CK274" s="32"/>
      <c r="CL274" s="32"/>
      <c r="CM274" s="32"/>
      <c r="CN274" s="32"/>
      <c r="CO274" s="32"/>
      <c r="CP274" s="32"/>
      <c r="CQ274" s="32"/>
      <c r="CR274" s="32"/>
      <c r="CS274" s="32"/>
      <c r="CT274" s="32"/>
      <c r="CU274" s="32"/>
      <c r="CV274" s="32"/>
      <c r="CW274" s="32"/>
      <c r="CX274" s="32"/>
      <c r="CY274" s="32"/>
      <c r="CZ274" s="32"/>
      <c r="DA274" s="32"/>
      <c r="DB274" s="32"/>
      <c r="DC274" s="32"/>
      <c r="DD274" s="32"/>
      <c r="DE274" s="32"/>
      <c r="DF274" s="32"/>
      <c r="DG274" s="32"/>
    </row>
    <row r="275" spans="3:111" ht="20.350000000000001" customHeight="1" x14ac:dyDescent="0.45">
      <c r="C275" s="47" t="s">
        <v>59</v>
      </c>
      <c r="D275" s="32">
        <f xml:space="preserve"> _xlfn.NORM.S.DIST(H250,TRUE)
  -2*_xlfn.NORM.S.DIST(K275,TRUE)
  +_xlfn.NORM.S.DIST(H251,TRUE)</f>
        <v>2.472642780639428E-2</v>
      </c>
      <c r="E275" s="32">
        <f>D274</f>
        <v>1.6178847292979008</v>
      </c>
      <c r="F275" s="32">
        <f>D275</f>
        <v>2.472642780639428E-2</v>
      </c>
      <c r="G275" s="32"/>
      <c r="H275" s="32"/>
      <c r="I275" s="32"/>
      <c r="J275" s="32" t="s">
        <v>78</v>
      </c>
      <c r="K275" s="32">
        <f>(LN(C124/K274) + (C125 + 0.5*C126^2)*C127) / (C126*SQRT(C127))</f>
        <v>-0.12655089902162442</v>
      </c>
      <c r="L275" s="32"/>
      <c r="M275" s="32"/>
      <c r="N275" s="32"/>
      <c r="O275" s="32"/>
      <c r="P275" s="32"/>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c r="AP275" s="32"/>
      <c r="AQ275" s="32"/>
      <c r="AR275" s="32"/>
      <c r="AS275" s="32"/>
      <c r="AT275" s="32"/>
      <c r="AU275" s="32"/>
      <c r="AV275" s="32"/>
      <c r="AW275" s="32"/>
      <c r="AX275" s="32"/>
      <c r="AY275" s="32"/>
      <c r="AZ275" s="32"/>
      <c r="BA275" s="32"/>
      <c r="BB275" s="32"/>
      <c r="BC275" s="32"/>
      <c r="BD275" s="32"/>
      <c r="BE275" s="32"/>
      <c r="BF275" s="32"/>
      <c r="BG275" s="32"/>
      <c r="BH275" s="32"/>
      <c r="BI275" s="32"/>
      <c r="BJ275" s="32"/>
      <c r="BK275" s="32"/>
      <c r="BL275" s="32"/>
      <c r="BM275" s="32"/>
      <c r="BN275" s="32"/>
      <c r="BO275" s="32"/>
      <c r="BP275" s="32"/>
      <c r="BQ275" s="32"/>
      <c r="BR275" s="32"/>
      <c r="BS275" s="32"/>
      <c r="BT275" s="32"/>
      <c r="BU275" s="32"/>
      <c r="BV275" s="32"/>
      <c r="BW275" s="32"/>
      <c r="BX275" s="32"/>
      <c r="BY275" s="32"/>
      <c r="BZ275" s="32"/>
      <c r="CA275" s="32"/>
      <c r="CB275" s="32"/>
      <c r="CC275" s="32"/>
      <c r="CD275" s="32"/>
      <c r="CE275" s="32"/>
      <c r="CF275" s="32"/>
      <c r="CG275" s="32"/>
      <c r="CH275" s="32"/>
      <c r="CI275" s="32"/>
      <c r="CJ275" s="32"/>
      <c r="CK275" s="32"/>
      <c r="CL275" s="32"/>
      <c r="CM275" s="32"/>
      <c r="CN275" s="32"/>
      <c r="CO275" s="32"/>
      <c r="CP275" s="32"/>
      <c r="CQ275" s="32"/>
      <c r="CR275" s="32"/>
      <c r="CS275" s="32"/>
      <c r="CT275" s="32"/>
      <c r="CU275" s="32"/>
      <c r="CV275" s="32"/>
      <c r="CW275" s="32"/>
      <c r="CX275" s="32"/>
      <c r="CY275" s="32"/>
      <c r="CZ275" s="32"/>
      <c r="DA275" s="32"/>
      <c r="DB275" s="32"/>
      <c r="DC275" s="32"/>
      <c r="DD275" s="32"/>
      <c r="DE275" s="32"/>
      <c r="DF275" s="32"/>
      <c r="DG275" s="32"/>
    </row>
    <row r="276" spans="3:111" ht="20.350000000000001" customHeight="1" x14ac:dyDescent="0.45">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c r="AP276" s="32"/>
      <c r="AQ276" s="32"/>
      <c r="AR276" s="32"/>
      <c r="AS276" s="32"/>
      <c r="AT276" s="32"/>
      <c r="AU276" s="32"/>
      <c r="AV276" s="32"/>
      <c r="AW276" s="32"/>
      <c r="AX276" s="32"/>
      <c r="AY276" s="32"/>
      <c r="AZ276" s="32"/>
      <c r="BA276" s="32"/>
      <c r="BB276" s="32"/>
      <c r="BC276" s="32"/>
      <c r="BD276" s="32"/>
      <c r="BE276" s="32"/>
      <c r="BF276" s="32"/>
      <c r="BG276" s="32"/>
      <c r="BH276" s="32"/>
      <c r="BI276" s="32"/>
      <c r="BJ276" s="32"/>
      <c r="BK276" s="32"/>
      <c r="BL276" s="32"/>
      <c r="BM276" s="32"/>
      <c r="BN276" s="32"/>
      <c r="BO276" s="32"/>
      <c r="BP276" s="32"/>
      <c r="BQ276" s="32"/>
      <c r="BR276" s="32"/>
      <c r="BS276" s="32"/>
      <c r="BT276" s="32"/>
      <c r="BU276" s="32"/>
      <c r="BV276" s="32"/>
      <c r="BW276" s="32"/>
      <c r="BX276" s="32"/>
      <c r="BY276" s="32"/>
      <c r="BZ276" s="32"/>
      <c r="CA276" s="32"/>
      <c r="CB276" s="32"/>
      <c r="CC276" s="32"/>
      <c r="CD276" s="32"/>
      <c r="CE276" s="32"/>
      <c r="CF276" s="32"/>
      <c r="CG276" s="32"/>
      <c r="CH276" s="32"/>
      <c r="CI276" s="32"/>
      <c r="CJ276" s="32"/>
      <c r="CK276" s="32"/>
      <c r="CL276" s="32"/>
      <c r="CM276" s="32"/>
      <c r="CN276" s="32"/>
      <c r="CO276" s="32"/>
      <c r="CP276" s="32"/>
      <c r="CQ276" s="32"/>
      <c r="CR276" s="32"/>
      <c r="CS276" s="32"/>
      <c r="CT276" s="32"/>
      <c r="CU276" s="32"/>
      <c r="CV276" s="32"/>
      <c r="CW276" s="32"/>
      <c r="CX276" s="32"/>
      <c r="CY276" s="32"/>
      <c r="CZ276" s="32"/>
      <c r="DA276" s="32"/>
      <c r="DB276" s="32"/>
      <c r="DC276" s="32"/>
      <c r="DD276" s="32"/>
      <c r="DE276" s="32"/>
      <c r="DF276" s="32"/>
      <c r="DG276" s="32"/>
    </row>
    <row r="277" spans="3:111" ht="20.350000000000001" customHeight="1" x14ac:dyDescent="0.45">
      <c r="C277" s="47" t="s">
        <v>85</v>
      </c>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c r="AP277" s="32"/>
      <c r="AQ277" s="32"/>
      <c r="AR277" s="32"/>
      <c r="AS277" s="32"/>
      <c r="AT277" s="32"/>
      <c r="AU277" s="32"/>
      <c r="AV277" s="32"/>
      <c r="AW277" s="32"/>
      <c r="AX277" s="32"/>
      <c r="AY277" s="32"/>
      <c r="AZ277" s="32"/>
      <c r="BA277" s="32"/>
      <c r="BB277" s="32"/>
      <c r="BC277" s="32"/>
      <c r="BD277" s="32"/>
      <c r="BE277" s="32"/>
      <c r="BF277" s="32"/>
      <c r="BG277" s="32"/>
      <c r="BH277" s="32"/>
      <c r="BI277" s="32"/>
      <c r="BJ277" s="32"/>
      <c r="BK277" s="32"/>
      <c r="BL277" s="32"/>
      <c r="BM277" s="32"/>
      <c r="BN277" s="32"/>
      <c r="BO277" s="32"/>
      <c r="BP277" s="32"/>
      <c r="BQ277" s="32"/>
      <c r="BR277" s="32"/>
      <c r="BS277" s="32"/>
      <c r="BT277" s="32"/>
      <c r="BU277" s="32"/>
      <c r="BV277" s="32"/>
      <c r="BW277" s="32"/>
      <c r="BX277" s="32"/>
      <c r="BY277" s="32"/>
      <c r="BZ277" s="32"/>
      <c r="CA277" s="32"/>
      <c r="CB277" s="32"/>
      <c r="CC277" s="32"/>
      <c r="CD277" s="32"/>
      <c r="CE277" s="32"/>
      <c r="CF277" s="32"/>
      <c r="CG277" s="32"/>
      <c r="CH277" s="32"/>
      <c r="CI277" s="32"/>
      <c r="CJ277" s="32"/>
      <c r="CK277" s="32"/>
      <c r="CL277" s="32"/>
      <c r="CM277" s="32"/>
      <c r="CN277" s="32"/>
      <c r="CO277" s="32"/>
      <c r="CP277" s="32"/>
      <c r="CQ277" s="32"/>
      <c r="CR277" s="32"/>
      <c r="CS277" s="32"/>
      <c r="CT277" s="32"/>
      <c r="CU277" s="32"/>
      <c r="CV277" s="32"/>
      <c r="CW277" s="32"/>
      <c r="CX277" s="32"/>
      <c r="CY277" s="32"/>
      <c r="CZ277" s="32"/>
      <c r="DA277" s="32"/>
      <c r="DB277" s="32"/>
      <c r="DC277" s="32"/>
      <c r="DD277" s="32"/>
      <c r="DE277" s="32"/>
      <c r="DF277" s="32"/>
      <c r="DG277" s="32"/>
    </row>
    <row r="278" spans="3:111" ht="20.350000000000001" customHeight="1" x14ac:dyDescent="0.45">
      <c r="C278" s="47" t="s">
        <v>38</v>
      </c>
      <c r="D278" s="32" cm="1">
        <f t="array" ref="D278">PriceCallGeom($C124,$C125,$C126,$C127,D175,$C128)</f>
        <v>5.4660827910567154</v>
      </c>
      <c r="E278" s="32" cm="1">
        <f t="array" ref="E278">PriceCallGeom($C124,$C125,$C126,$C127,E175,$C128)</f>
        <v>5.3236229107186341</v>
      </c>
      <c r="F278" s="32" cm="1">
        <f t="array" ref="F278">PriceCallGeom($C124,$C125,$C126,$C127,F175,$C128)</f>
        <v>5.4181717783960721</v>
      </c>
      <c r="G278" s="32" cm="1">
        <f t="array" ref="G278">PriceCallGeom($C124,$C125,$C126,$C127,G175,$C128)</f>
        <v>5.4071203247621549</v>
      </c>
      <c r="H278" s="32" cm="1">
        <f t="array" ref="H278">PriceCallGeom($C124,$C125,$C126,$C127,H175,$C128)</f>
        <v>5.4319779177161944</v>
      </c>
      <c r="I278" s="32" cm="1">
        <f t="array" ref="I278">PriceCallGeom($C124,$C125,$C126,$C127,I175,$C128)</f>
        <v>5.4500985354493139</v>
      </c>
      <c r="J278" s="32" cm="1">
        <f t="array" ref="J278">PriceCallGeom($C124,$C125,$C126,$C127,J175,$C128)</f>
        <v>5.4568322655713768</v>
      </c>
      <c r="K278" s="32" cm="1">
        <f t="array" ref="K278">PriceCallGeom($C124,$C125,$C126,$C127,K175,$C128)</f>
        <v>5.470570915358854</v>
      </c>
      <c r="L278" s="32" cm="1">
        <f t="array" ref="L278">PriceCallGeom($C124,$C125,$C126,$C127,L175,$C128)</f>
        <v>5.4755222661693566</v>
      </c>
      <c r="M278" s="32" cm="1">
        <f t="array" ref="M278">PriceCallGeom($C124,$C125,$C126,$C127,M175,$C128)</f>
        <v>5.4828337341276869</v>
      </c>
      <c r="N278" s="32" cm="1">
        <f t="array" ref="N278">PriceCallGeom($C124,$C125,$C126,$C127,N175,$C128)</f>
        <v>5.4868786536391516</v>
      </c>
      <c r="O278" s="32" cm="1">
        <f t="array" ref="O278">PriceCallGeom($C124,$C125,$C126,$C127,O175,$C128)</f>
        <v>5.491230852601265</v>
      </c>
      <c r="P278" s="32" cm="1">
        <f t="array" ref="P278">PriceCallGeom($C124,$C125,$C126,$C127,P175,$C128)</f>
        <v>5.4947235169444619</v>
      </c>
      <c r="Q278" s="32" cm="1">
        <f t="array" ref="Q278">PriceCallGeom($C124,$C125,$C126,$C127,Q175,$C128)</f>
        <v>5.4977183502275571</v>
      </c>
      <c r="R278" s="32" cm="1">
        <f t="array" ref="R278">PriceCallGeom($C124,$C125,$C126,$C127,R175,$C128)</f>
        <v>5.5006349814959918</v>
      </c>
      <c r="S278" s="32"/>
      <c r="T278" s="47" t="s">
        <v>87</v>
      </c>
      <c r="U278" s="32" cm="1">
        <f t="array" ref="U278">PriceCallGeomMC(C124, C125, C126, C127, 1, C128)</f>
        <v>5.651560967417919</v>
      </c>
      <c r="V278" s="32"/>
      <c r="W278" s="32">
        <f>U278</f>
        <v>5.651560967417919</v>
      </c>
      <c r="X278" s="32"/>
      <c r="Y278" s="32">
        <f>U280</f>
        <v>3.3295344582950834</v>
      </c>
      <c r="Z278" s="32"/>
      <c r="AA278" s="32"/>
      <c r="AB278" s="32"/>
      <c r="AC278" s="32"/>
      <c r="AD278" s="32"/>
      <c r="AE278" s="32"/>
      <c r="AF278" s="32"/>
      <c r="AG278" s="32"/>
      <c r="AH278" s="32"/>
      <c r="AI278" s="32"/>
      <c r="AJ278" s="32"/>
      <c r="AK278" s="32"/>
      <c r="AL278" s="32"/>
      <c r="AM278" s="32"/>
      <c r="AN278" s="32"/>
      <c r="AO278" s="32"/>
      <c r="AP278" s="32"/>
      <c r="AQ278" s="32"/>
      <c r="AR278" s="32"/>
      <c r="AS278" s="32"/>
      <c r="AT278" s="32"/>
      <c r="AU278" s="32"/>
      <c r="AV278" s="32"/>
      <c r="AW278" s="32"/>
      <c r="AX278" s="32"/>
      <c r="AY278" s="32"/>
      <c r="AZ278" s="32"/>
      <c r="BA278" s="32"/>
      <c r="BB278" s="32"/>
      <c r="BC278" s="32"/>
      <c r="BD278" s="32"/>
      <c r="BE278" s="32"/>
      <c r="BF278" s="32"/>
      <c r="BG278" s="32"/>
      <c r="BH278" s="32"/>
      <c r="BI278" s="32"/>
      <c r="BJ278" s="32"/>
      <c r="BK278" s="32"/>
      <c r="BL278" s="32"/>
      <c r="BM278" s="32"/>
      <c r="BN278" s="32"/>
      <c r="BO278" s="32"/>
      <c r="BP278" s="32"/>
      <c r="BQ278" s="32"/>
      <c r="BR278" s="32"/>
      <c r="BS278" s="32"/>
      <c r="BT278" s="32"/>
      <c r="BU278" s="32"/>
      <c r="BV278" s="32"/>
      <c r="BW278" s="32"/>
      <c r="BX278" s="32"/>
      <c r="BY278" s="32"/>
      <c r="BZ278" s="32"/>
      <c r="CA278" s="32"/>
      <c r="CB278" s="32"/>
      <c r="CC278" s="32"/>
      <c r="CD278" s="32"/>
      <c r="CE278" s="32"/>
      <c r="CF278" s="32"/>
      <c r="CG278" s="32"/>
      <c r="CH278" s="32"/>
      <c r="CI278" s="32"/>
      <c r="CJ278" s="32"/>
      <c r="CK278" s="32"/>
      <c r="CL278" s="32"/>
      <c r="CM278" s="32"/>
      <c r="CN278" s="32"/>
      <c r="CO278" s="32"/>
      <c r="CP278" s="32"/>
      <c r="CQ278" s="32"/>
      <c r="CR278" s="32"/>
      <c r="CS278" s="32"/>
      <c r="CT278" s="32"/>
      <c r="CU278" s="32"/>
      <c r="CV278" s="32"/>
      <c r="CW278" s="32"/>
      <c r="CX278" s="32"/>
      <c r="CY278" s="32"/>
      <c r="CZ278" s="32"/>
      <c r="DA278" s="32"/>
      <c r="DB278" s="32"/>
      <c r="DC278" s="32"/>
      <c r="DD278" s="32"/>
      <c r="DE278" s="32"/>
      <c r="DF278" s="32"/>
      <c r="DG278" s="32"/>
    </row>
    <row r="279" spans="3:111" ht="20.350000000000001" customHeight="1" x14ac:dyDescent="0.45">
      <c r="C279" s="47" t="s">
        <v>49</v>
      </c>
      <c r="D279" s="32" cm="1">
        <f t="array" ref="D279">DeltaCallGeom($C124,$C125,$C126,$C127,D175,$C128)</f>
        <v>0.39617318132853757</v>
      </c>
      <c r="E279" s="32" cm="1">
        <f t="array" ref="E279">DeltaCallGeom($C124,$C125,$C126,$C127,E175,$C128)</f>
        <v>0.43694704566901166</v>
      </c>
      <c r="F279" s="32" cm="1">
        <f t="array" ref="F279">DeltaCallGeom($C124,$C125,$C126,$C127,F175,$C128)</f>
        <v>0.46265702818725635</v>
      </c>
      <c r="G279" s="32" cm="1">
        <f t="array" ref="G279">DeltaCallGeom($C124,$C125,$C126,$C127,G175,$C128)</f>
        <v>0.48628873558451841</v>
      </c>
      <c r="H279" s="32" cm="1">
        <f t="array" ref="H279">DeltaCallGeom($C124,$C125,$C126,$C127,H175,$C128)</f>
        <v>0.49829032566309728</v>
      </c>
      <c r="I279" s="32" cm="1">
        <f t="array" ref="I279">DeltaCallGeom($C124,$C125,$C126,$C127,I175,$C128)</f>
        <v>0.50695452396405727</v>
      </c>
      <c r="J279" s="32" cm="1">
        <f t="array" ref="J279">DeltaCallGeom($C124,$C125,$C126,$C127,J175,$C128)</f>
        <v>0.51566329759110485</v>
      </c>
      <c r="K279" s="32" cm="1">
        <f t="array" ref="K279">DeltaCallGeom($C124,$C125,$C126,$C127,K175,$C128)</f>
        <v>0.52210827533464499</v>
      </c>
      <c r="L279" s="32" cm="1">
        <f t="array" ref="L279">DeltaCallGeom($C124,$C125,$C126,$C127,L175,$C128)</f>
        <v>0.52719159689223893</v>
      </c>
      <c r="M279" s="32" cm="1">
        <f t="array" ref="M279">DeltaCallGeom($C124,$C125,$C126,$C127,M175,$C128)</f>
        <v>0.53158312965339283</v>
      </c>
      <c r="N279" s="32" cm="1">
        <f t="array" ref="N279">DeltaCallGeom($C124,$C125,$C126,$C127,N175,$C128)</f>
        <v>0.53531660876821463</v>
      </c>
      <c r="O279" s="32" cm="1">
        <f t="array" ref="O279">DeltaCallGeom($C124,$C125,$C126,$C127,O175,$C128)</f>
        <v>0.53847412546781437</v>
      </c>
      <c r="P279" s="32" cm="1">
        <f t="array" ref="P279">DeltaCallGeom($C124,$C125,$C126,$C127,P175,$C128)</f>
        <v>0.54124535028320697</v>
      </c>
      <c r="Q279" s="32" cm="1">
        <f t="array" ref="Q279">DeltaCallGeom($C124,$C125,$C126,$C127,Q175,$C128)</f>
        <v>0.54366880114149529</v>
      </c>
      <c r="R279" s="32" cm="1">
        <f t="array" ref="R279">DeltaCallGeom($C124,$C125,$C126,$C127,R175,$C128)</f>
        <v>0.54580203560930851</v>
      </c>
      <c r="S279" s="32"/>
      <c r="T279" s="47" t="s">
        <v>88</v>
      </c>
      <c r="U279" s="32" cm="1">
        <f t="array" ref="U279">DeltaCallGeomMC(C124, C125, C126, C127, 1, C128)</f>
        <v>0.58880353200256863</v>
      </c>
      <c r="V279" s="32"/>
      <c r="W279" s="32">
        <f>U278</f>
        <v>5.651560967417919</v>
      </c>
      <c r="X279" s="32"/>
      <c r="Y279" s="32">
        <f>U280</f>
        <v>3.3295344582950834</v>
      </c>
      <c r="Z279" s="32"/>
      <c r="AA279" s="32"/>
      <c r="AB279" s="32"/>
      <c r="AC279" s="32"/>
      <c r="AD279" s="32"/>
      <c r="AE279" s="32"/>
      <c r="AF279" s="32"/>
      <c r="AG279" s="32"/>
      <c r="AH279" s="32"/>
      <c r="AI279" s="32"/>
      <c r="AJ279" s="32"/>
      <c r="AK279" s="32"/>
      <c r="AL279" s="32"/>
      <c r="AM279" s="32"/>
      <c r="AN279" s="32"/>
      <c r="AO279" s="32"/>
      <c r="AP279" s="32"/>
      <c r="AQ279" s="32"/>
      <c r="AR279" s="32"/>
      <c r="AS279" s="32"/>
      <c r="AT279" s="32"/>
      <c r="AU279" s="32"/>
      <c r="AV279" s="32"/>
      <c r="AW279" s="32"/>
      <c r="AX279" s="32"/>
      <c r="AY279" s="32"/>
      <c r="AZ279" s="32"/>
      <c r="BA279" s="32"/>
      <c r="BB279" s="32"/>
      <c r="BC279" s="32"/>
      <c r="BD279" s="32"/>
      <c r="BE279" s="32"/>
      <c r="BF279" s="32"/>
      <c r="BG279" s="32"/>
      <c r="BH279" s="32"/>
      <c r="BI279" s="32"/>
      <c r="BJ279" s="32"/>
      <c r="BK279" s="32"/>
      <c r="BL279" s="32"/>
      <c r="BM279" s="32"/>
      <c r="BN279" s="32"/>
      <c r="BO279" s="32"/>
      <c r="BP279" s="32"/>
      <c r="BQ279" s="32"/>
      <c r="BR279" s="32"/>
      <c r="BS279" s="32"/>
      <c r="BT279" s="32"/>
      <c r="BU279" s="32"/>
      <c r="BV279" s="32"/>
      <c r="BW279" s="32"/>
      <c r="BX279" s="32"/>
      <c r="BY279" s="32"/>
      <c r="BZ279" s="32"/>
      <c r="CA279" s="32"/>
      <c r="CB279" s="32"/>
      <c r="CC279" s="32"/>
      <c r="CD279" s="32"/>
      <c r="CE279" s="32"/>
      <c r="CF279" s="32"/>
      <c r="CG279" s="32"/>
      <c r="CH279" s="32"/>
      <c r="CI279" s="32"/>
      <c r="CJ279" s="32"/>
      <c r="CK279" s="32"/>
      <c r="CL279" s="32"/>
      <c r="CM279" s="32"/>
      <c r="CN279" s="32"/>
      <c r="CO279" s="32"/>
      <c r="CP279" s="32"/>
      <c r="CQ279" s="32"/>
      <c r="CR279" s="32"/>
      <c r="CS279" s="32"/>
      <c r="CT279" s="32"/>
      <c r="CU279" s="32"/>
      <c r="CV279" s="32"/>
      <c r="CW279" s="32"/>
      <c r="CX279" s="32"/>
      <c r="CY279" s="32"/>
      <c r="CZ279" s="32"/>
      <c r="DA279" s="32"/>
      <c r="DB279" s="32"/>
      <c r="DC279" s="32"/>
      <c r="DD279" s="32"/>
      <c r="DE279" s="32"/>
      <c r="DF279" s="32"/>
      <c r="DG279" s="32"/>
    </row>
    <row r="280" spans="3:111" ht="20.350000000000001" customHeight="1" x14ac:dyDescent="0.45">
      <c r="C280" s="47" t="s">
        <v>50</v>
      </c>
      <c r="D280" s="32">
        <f>LOG(ABS(D278-$U278))</f>
        <v>-0.73170718277925084</v>
      </c>
      <c r="E280" s="32">
        <f t="shared" ref="E280:R280" si="63">LOG(ABS(E278-$U278))</f>
        <v>-0.48420818120971909</v>
      </c>
      <c r="F280" s="32">
        <f t="shared" si="63"/>
        <v>-0.63191926507255847</v>
      </c>
      <c r="G280" s="32">
        <f t="shared" si="63"/>
        <v>-0.61182658315264782</v>
      </c>
      <c r="H280" s="32">
        <f t="shared" si="63"/>
        <v>-0.65840118746933096</v>
      </c>
      <c r="I280" s="32">
        <f t="shared" si="63"/>
        <v>-0.6958059277356462</v>
      </c>
      <c r="J280" s="32">
        <f t="shared" si="63"/>
        <v>-0.7105700313516099</v>
      </c>
      <c r="K280" s="32">
        <f t="shared" si="63"/>
        <v>-0.74234529504564251</v>
      </c>
      <c r="L280" s="32">
        <f t="shared" si="63"/>
        <v>-0.75439184416875693</v>
      </c>
      <c r="M280" s="32">
        <f t="shared" si="63"/>
        <v>-0.77281481478411151</v>
      </c>
      <c r="N280" s="32">
        <f t="shared" si="63"/>
        <v>-0.78335303981463011</v>
      </c>
      <c r="O280" s="32">
        <f t="shared" si="63"/>
        <v>-0.79498489642107029</v>
      </c>
      <c r="P280" s="32">
        <f t="shared" si="63"/>
        <v>-0.8045502261417149</v>
      </c>
      <c r="Q280" s="32">
        <f t="shared" si="63"/>
        <v>-0.81292334043322723</v>
      </c>
      <c r="R280" s="32">
        <f t="shared" si="63"/>
        <v>-0.8212359784424933</v>
      </c>
      <c r="S280" s="32"/>
      <c r="T280" s="47" t="s">
        <v>89</v>
      </c>
      <c r="U280" s="32" cm="1">
        <f t="array" ref="U280">PricePutGeomMC(C124, C125, C126, C127, 1, C128)</f>
        <v>3.3295344582950834</v>
      </c>
      <c r="V280" s="32"/>
      <c r="W280" s="32"/>
      <c r="X280" s="32"/>
      <c r="Y280" s="32"/>
      <c r="Z280" s="32"/>
      <c r="AA280" s="32"/>
      <c r="AB280" s="32"/>
      <c r="AC280" s="32"/>
      <c r="AD280" s="32"/>
      <c r="AE280" s="32"/>
      <c r="AF280" s="32"/>
      <c r="AG280" s="32"/>
      <c r="AH280" s="32"/>
      <c r="AI280" s="32"/>
      <c r="AJ280" s="32"/>
      <c r="AK280" s="32"/>
      <c r="AL280" s="32"/>
      <c r="AM280" s="32"/>
      <c r="AN280" s="32"/>
      <c r="AO280" s="32"/>
      <c r="AP280" s="32"/>
      <c r="AQ280" s="32"/>
      <c r="AR280" s="32"/>
      <c r="AS280" s="32"/>
      <c r="AT280" s="32"/>
      <c r="AU280" s="32"/>
      <c r="AV280" s="32"/>
      <c r="AW280" s="32"/>
      <c r="AX280" s="32"/>
      <c r="AY280" s="32"/>
      <c r="AZ280" s="32"/>
      <c r="BA280" s="32"/>
      <c r="BB280" s="32"/>
      <c r="BC280" s="32"/>
      <c r="BD280" s="32"/>
      <c r="BE280" s="32"/>
      <c r="BF280" s="32"/>
      <c r="BG280" s="32"/>
      <c r="BH280" s="32"/>
      <c r="BI280" s="32"/>
      <c r="BJ280" s="32"/>
      <c r="BK280" s="32"/>
      <c r="BL280" s="32"/>
      <c r="BM280" s="32"/>
      <c r="BN280" s="32"/>
      <c r="BO280" s="32"/>
      <c r="BP280" s="32"/>
      <c r="BQ280" s="32"/>
      <c r="BR280" s="32"/>
      <c r="BS280" s="32"/>
      <c r="BT280" s="32"/>
      <c r="BU280" s="32"/>
      <c r="BV280" s="32"/>
      <c r="BW280" s="32"/>
      <c r="BX280" s="32"/>
      <c r="BY280" s="32"/>
      <c r="BZ280" s="32"/>
      <c r="CA280" s="32"/>
      <c r="CB280" s="32"/>
      <c r="CC280" s="32"/>
      <c r="CD280" s="32"/>
      <c r="CE280" s="32"/>
      <c r="CF280" s="32"/>
      <c r="CG280" s="32"/>
      <c r="CH280" s="32"/>
      <c r="CI280" s="32"/>
      <c r="CJ280" s="32"/>
      <c r="CK280" s="32"/>
      <c r="CL280" s="32"/>
      <c r="CM280" s="32"/>
      <c r="CN280" s="32"/>
      <c r="CO280" s="32"/>
      <c r="CP280" s="32"/>
      <c r="CQ280" s="32"/>
      <c r="CR280" s="32"/>
      <c r="CS280" s="32"/>
      <c r="CT280" s="32"/>
      <c r="CU280" s="32"/>
      <c r="CV280" s="32"/>
      <c r="CW280" s="32"/>
      <c r="CX280" s="32"/>
      <c r="CY280" s="32"/>
      <c r="CZ280" s="32"/>
      <c r="DA280" s="32"/>
      <c r="DB280" s="32"/>
      <c r="DC280" s="32"/>
      <c r="DD280" s="32"/>
      <c r="DE280" s="32"/>
      <c r="DF280" s="32"/>
      <c r="DG280" s="32"/>
    </row>
    <row r="281" spans="3:111" ht="20.350000000000001" customHeight="1" x14ac:dyDescent="0.45">
      <c r="C281" s="47" t="s">
        <v>51</v>
      </c>
      <c r="D281" s="32">
        <f>LOG(ABS(D279-$U279))</f>
        <v>-0.71527528475148761</v>
      </c>
      <c r="E281" s="32">
        <f t="shared" ref="E281:R281" si="64">LOG(ABS(E279-$U279))</f>
        <v>-0.81856665307920895</v>
      </c>
      <c r="F281" s="32">
        <f t="shared" si="64"/>
        <v>-0.89912478156938291</v>
      </c>
      <c r="G281" s="32">
        <f t="shared" si="64"/>
        <v>-0.98921344642342679</v>
      </c>
      <c r="H281" s="32">
        <f t="shared" si="64"/>
        <v>-1.0432880503868058</v>
      </c>
      <c r="I281" s="32">
        <f t="shared" si="64"/>
        <v>-1.0869865796119824</v>
      </c>
      <c r="J281" s="32">
        <f t="shared" si="64"/>
        <v>-1.1358436520996689</v>
      </c>
      <c r="K281" s="32">
        <f t="shared" si="64"/>
        <v>-1.1759050517835714</v>
      </c>
      <c r="L281" s="32">
        <f t="shared" si="64"/>
        <v>-1.2103351506524573</v>
      </c>
      <c r="M281" s="32">
        <f t="shared" si="64"/>
        <v>-1.2424490927486431</v>
      </c>
      <c r="N281" s="32">
        <f t="shared" si="64"/>
        <v>-1.2717523836113143</v>
      </c>
      <c r="O281" s="32">
        <f t="shared" si="64"/>
        <v>-1.298178190608245</v>
      </c>
      <c r="P281" s="32">
        <f t="shared" si="64"/>
        <v>-1.3227747580134639</v>
      </c>
      <c r="Q281" s="32">
        <f t="shared" si="64"/>
        <v>-1.345489142899579</v>
      </c>
      <c r="R281" s="32">
        <f t="shared" si="64"/>
        <v>-1.3665164313034808</v>
      </c>
      <c r="S281" s="32"/>
      <c r="T281" s="47" t="s">
        <v>90</v>
      </c>
      <c r="U281" s="32" cm="1">
        <f t="array" ref="U281">DeltaPutGeomMC(C124, C125, C126, C127, 1, C128)</f>
        <v>-0.38564615759060228</v>
      </c>
      <c r="V281" s="32"/>
      <c r="W281" s="32">
        <f>U279</f>
        <v>0.58880353200256863</v>
      </c>
      <c r="X281" s="32"/>
      <c r="Y281" s="32">
        <f>U281</f>
        <v>-0.38564615759060228</v>
      </c>
      <c r="Z281" s="32"/>
      <c r="AA281" s="32"/>
      <c r="AB281" s="32"/>
      <c r="AC281" s="32"/>
      <c r="AD281" s="32"/>
      <c r="AE281" s="32"/>
      <c r="AF281" s="32"/>
      <c r="AG281" s="32"/>
      <c r="AH281" s="32"/>
      <c r="AI281" s="32"/>
      <c r="AJ281" s="32"/>
      <c r="AK281" s="32"/>
      <c r="AL281" s="32"/>
      <c r="AM281" s="32"/>
      <c r="AN281" s="32"/>
      <c r="AO281" s="32"/>
      <c r="AP281" s="32"/>
      <c r="AQ281" s="32"/>
      <c r="AR281" s="32"/>
      <c r="AS281" s="32"/>
      <c r="AT281" s="32"/>
      <c r="AU281" s="32"/>
      <c r="AV281" s="32"/>
      <c r="AW281" s="32"/>
      <c r="AX281" s="32"/>
      <c r="AY281" s="32"/>
      <c r="AZ281" s="32"/>
      <c r="BA281" s="32"/>
      <c r="BB281" s="32"/>
      <c r="BC281" s="32"/>
      <c r="BD281" s="32"/>
      <c r="BE281" s="32"/>
      <c r="BF281" s="32"/>
      <c r="BG281" s="32"/>
      <c r="BH281" s="32"/>
      <c r="BI281" s="32"/>
      <c r="BJ281" s="32"/>
      <c r="BK281" s="32"/>
      <c r="BL281" s="32"/>
      <c r="BM281" s="32"/>
      <c r="BN281" s="32"/>
      <c r="BO281" s="32"/>
      <c r="BP281" s="32"/>
      <c r="BQ281" s="32"/>
      <c r="BR281" s="32"/>
      <c r="BS281" s="32"/>
      <c r="BT281" s="32"/>
      <c r="BU281" s="32"/>
      <c r="BV281" s="32"/>
      <c r="BW281" s="32"/>
      <c r="BX281" s="32"/>
      <c r="BY281" s="32"/>
      <c r="BZ281" s="32"/>
      <c r="CA281" s="32"/>
      <c r="CB281" s="32"/>
      <c r="CC281" s="32"/>
      <c r="CD281" s="32"/>
      <c r="CE281" s="32"/>
      <c r="CF281" s="32"/>
      <c r="CG281" s="32"/>
      <c r="CH281" s="32"/>
      <c r="CI281" s="32"/>
      <c r="CJ281" s="32"/>
      <c r="CK281" s="32"/>
      <c r="CL281" s="32"/>
      <c r="CM281" s="32"/>
      <c r="CN281" s="32"/>
      <c r="CO281" s="32"/>
      <c r="CP281" s="32"/>
      <c r="CQ281" s="32"/>
      <c r="CR281" s="32"/>
      <c r="CS281" s="32"/>
      <c r="CT281" s="32"/>
      <c r="CU281" s="32"/>
      <c r="CV281" s="32"/>
      <c r="CW281" s="32"/>
      <c r="CX281" s="32"/>
      <c r="CY281" s="32"/>
      <c r="CZ281" s="32"/>
      <c r="DA281" s="32"/>
      <c r="DB281" s="32"/>
      <c r="DC281" s="32"/>
      <c r="DD281" s="32"/>
      <c r="DE281" s="32"/>
      <c r="DF281" s="32"/>
      <c r="DG281" s="32"/>
    </row>
    <row r="282" spans="3:111" ht="20.350000000000001" customHeight="1" x14ac:dyDescent="0.45">
      <c r="C282" s="32"/>
      <c r="D282" s="32"/>
      <c r="E282" s="32"/>
      <c r="F282" s="32"/>
      <c r="G282" s="32"/>
      <c r="H282" s="32"/>
      <c r="I282" s="32"/>
      <c r="J282" s="32"/>
      <c r="K282" s="32"/>
      <c r="L282" s="32"/>
      <c r="M282" s="32"/>
      <c r="N282" s="32"/>
      <c r="O282" s="32"/>
      <c r="P282" s="32"/>
      <c r="Q282" s="32"/>
      <c r="R282" s="32"/>
      <c r="S282" s="32"/>
      <c r="T282" s="32"/>
      <c r="U282" s="32"/>
      <c r="V282" s="32"/>
      <c r="W282" s="32">
        <f>U279</f>
        <v>0.58880353200256863</v>
      </c>
      <c r="X282" s="32"/>
      <c r="Y282" s="32">
        <f>U281</f>
        <v>-0.38564615759060228</v>
      </c>
      <c r="Z282" s="32"/>
      <c r="AA282" s="32"/>
      <c r="AB282" s="32"/>
      <c r="AC282" s="32"/>
      <c r="AD282" s="32"/>
      <c r="AE282" s="32"/>
      <c r="AF282" s="32"/>
      <c r="AG282" s="32"/>
      <c r="AH282" s="32"/>
      <c r="AI282" s="32"/>
      <c r="AJ282" s="32"/>
      <c r="AK282" s="32"/>
      <c r="AL282" s="32"/>
      <c r="AM282" s="32"/>
      <c r="AN282" s="32"/>
      <c r="AO282" s="32"/>
      <c r="AP282" s="32"/>
      <c r="AQ282" s="32"/>
      <c r="AR282" s="32"/>
      <c r="AS282" s="32"/>
      <c r="AT282" s="32"/>
      <c r="AU282" s="32"/>
      <c r="AV282" s="32"/>
      <c r="AW282" s="32"/>
      <c r="AX282" s="32"/>
      <c r="AY282" s="32"/>
      <c r="AZ282" s="32"/>
      <c r="BA282" s="32"/>
      <c r="BB282" s="32"/>
      <c r="BC282" s="32"/>
      <c r="BD282" s="32"/>
      <c r="BE282" s="32"/>
      <c r="BF282" s="32"/>
      <c r="BG282" s="32"/>
      <c r="BH282" s="32"/>
      <c r="BI282" s="32"/>
      <c r="BJ282" s="32"/>
      <c r="BK282" s="32"/>
      <c r="BL282" s="32"/>
      <c r="BM282" s="32"/>
      <c r="BN282" s="32"/>
      <c r="BO282" s="32"/>
      <c r="BP282" s="32"/>
      <c r="BQ282" s="32"/>
      <c r="BR282" s="32"/>
      <c r="BS282" s="32"/>
      <c r="BT282" s="32"/>
      <c r="BU282" s="32"/>
      <c r="BV282" s="32"/>
      <c r="BW282" s="32"/>
      <c r="BX282" s="32"/>
      <c r="BY282" s="32"/>
      <c r="BZ282" s="32"/>
      <c r="CA282" s="32"/>
      <c r="CB282" s="32"/>
      <c r="CC282" s="32"/>
      <c r="CD282" s="32"/>
      <c r="CE282" s="32"/>
      <c r="CF282" s="32"/>
      <c r="CG282" s="32"/>
      <c r="CH282" s="32"/>
      <c r="CI282" s="32"/>
      <c r="CJ282" s="32"/>
      <c r="CK282" s="32"/>
      <c r="CL282" s="32"/>
      <c r="CM282" s="32"/>
      <c r="CN282" s="32"/>
      <c r="CO282" s="32"/>
      <c r="CP282" s="32"/>
      <c r="CQ282" s="32"/>
      <c r="CR282" s="32"/>
      <c r="CS282" s="32"/>
      <c r="CT282" s="32"/>
      <c r="CU282" s="32"/>
      <c r="CV282" s="32"/>
      <c r="CW282" s="32"/>
      <c r="CX282" s="32"/>
      <c r="CY282" s="32"/>
      <c r="CZ282" s="32"/>
      <c r="DA282" s="32"/>
      <c r="DB282" s="32"/>
      <c r="DC282" s="32"/>
      <c r="DD282" s="32"/>
      <c r="DE282" s="32"/>
      <c r="DF282" s="32"/>
      <c r="DG282" s="32"/>
    </row>
    <row r="283" spans="3:111" ht="20.350000000000001" customHeight="1" x14ac:dyDescent="0.45">
      <c r="C283" s="47" t="s">
        <v>86</v>
      </c>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c r="AP283" s="32"/>
      <c r="AQ283" s="32"/>
      <c r="AR283" s="32"/>
      <c r="AS283" s="32"/>
      <c r="AT283" s="32"/>
      <c r="AU283" s="32"/>
      <c r="AV283" s="32"/>
      <c r="AW283" s="32"/>
      <c r="AX283" s="32"/>
      <c r="AY283" s="32"/>
      <c r="AZ283" s="32"/>
      <c r="BA283" s="32"/>
      <c r="BB283" s="32"/>
      <c r="BC283" s="32"/>
      <c r="BD283" s="32"/>
      <c r="BE283" s="32"/>
      <c r="BF283" s="32"/>
      <c r="BG283" s="32"/>
      <c r="BH283" s="32"/>
      <c r="BI283" s="32"/>
      <c r="BJ283" s="32"/>
      <c r="BK283" s="32"/>
      <c r="BL283" s="32"/>
      <c r="BM283" s="32"/>
      <c r="BN283" s="32"/>
      <c r="BO283" s="32"/>
      <c r="BP283" s="32"/>
      <c r="BQ283" s="32"/>
      <c r="BR283" s="32"/>
      <c r="BS283" s="32"/>
      <c r="BT283" s="32"/>
      <c r="BU283" s="32"/>
      <c r="BV283" s="32"/>
      <c r="BW283" s="32"/>
      <c r="BX283" s="32"/>
      <c r="BY283" s="32"/>
      <c r="BZ283" s="32"/>
      <c r="CA283" s="32"/>
      <c r="CB283" s="32"/>
      <c r="CC283" s="32"/>
      <c r="CD283" s="32"/>
      <c r="CE283" s="32"/>
      <c r="CF283" s="32"/>
      <c r="CG283" s="32"/>
      <c r="CH283" s="32"/>
      <c r="CI283" s="32"/>
      <c r="CJ283" s="32"/>
      <c r="CK283" s="32"/>
      <c r="CL283" s="32"/>
      <c r="CM283" s="32"/>
      <c r="CN283" s="32"/>
      <c r="CO283" s="32"/>
      <c r="CP283" s="32"/>
      <c r="CQ283" s="32"/>
      <c r="CR283" s="32"/>
      <c r="CS283" s="32"/>
      <c r="CT283" s="32"/>
      <c r="CU283" s="32"/>
      <c r="CV283" s="32"/>
      <c r="CW283" s="32"/>
      <c r="CX283" s="32"/>
      <c r="CY283" s="32"/>
      <c r="CZ283" s="32"/>
      <c r="DA283" s="32"/>
      <c r="DB283" s="32"/>
      <c r="DC283" s="32"/>
      <c r="DD283" s="32"/>
      <c r="DE283" s="32"/>
      <c r="DF283" s="32"/>
      <c r="DG283" s="32"/>
    </row>
    <row r="284" spans="3:111" ht="20.350000000000001" customHeight="1" x14ac:dyDescent="0.45">
      <c r="C284" s="47" t="s">
        <v>38</v>
      </c>
      <c r="D284" s="32" cm="1">
        <f t="array" ref="D284">PricePutGeom($C124,$C125,$C126,$C127,D175,$C128)</f>
        <v>3.5013146608167571</v>
      </c>
      <c r="E284" s="32" cm="1">
        <f t="array" ref="E284">PricePutGeom($C124,$C125,$C126,$C127,E175,$C128)</f>
        <v>3.3290143305204296</v>
      </c>
      <c r="F284" s="32" cm="1">
        <f t="array" ref="F284">PricePutGeom($C124,$C125,$C126,$C127,F175,$C128)</f>
        <v>3.4057301041508241</v>
      </c>
      <c r="G284" s="32" cm="1">
        <f t="array" ref="G284">PricePutGeom($C124,$C125,$C126,$C127,G175,$C128)</f>
        <v>3.3828110598143946</v>
      </c>
      <c r="H284" s="32" cm="1">
        <f t="array" ref="H284">PricePutGeom($C124,$C125,$C126,$C127,H175,$C128)</f>
        <v>3.3992001897817121</v>
      </c>
      <c r="I284" s="32" cm="1">
        <f t="array" ref="I284">PricePutGeom($C124,$C125,$C126,$C127,I175,$C128)</f>
        <v>3.4109734258843112</v>
      </c>
      <c r="J284" s="32" cm="1">
        <f t="array" ref="J284">PricePutGeom($C124,$C125,$C126,$C127,J175,$C128)</f>
        <v>3.4127724145883103</v>
      </c>
      <c r="K284" s="32" cm="1">
        <f t="array" ref="K284">PricePutGeom($C124,$C125,$C126,$C127,K175,$C128)</f>
        <v>3.4225644957025558</v>
      </c>
      <c r="L284" s="32" cm="1">
        <f t="array" ref="L284">PricePutGeom($C124,$C125,$C126,$C127,L175,$C128)</f>
        <v>3.4242875938617905</v>
      </c>
      <c r="M284" s="32" cm="1">
        <f t="array" ref="M284">PricePutGeom($C124,$C125,$C126,$C127,M175,$C128)</f>
        <v>3.4289093452735804</v>
      </c>
      <c r="N284" s="32" cm="1">
        <f t="array" ref="N284">PricePutGeom($C124,$C125,$C126,$C127,N175,$C128)</f>
        <v>3.4306786862666407</v>
      </c>
      <c r="O284" s="32" cm="1">
        <f t="array" ref="O284">PricePutGeom($C124,$C125,$C126,$C127,O175,$C128)</f>
        <v>3.4330806250762991</v>
      </c>
      <c r="P284" s="32" cm="1">
        <f t="array" ref="P284">PricePutGeom($C124,$C125,$C126,$C127,P175,$C128)</f>
        <v>3.434883234372049</v>
      </c>
      <c r="Q284" s="32" cm="1">
        <f t="array" ref="Q284">PricePutGeom($C124,$C125,$C126,$C127,Q175,$C128)</f>
        <v>3.4363993957212835</v>
      </c>
      <c r="R284" s="32" cm="1">
        <f t="array" ref="R284">PricePutGeom($C124,$C125,$C126,$C127,R175,$C128)</f>
        <v>3.4380114119372056</v>
      </c>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c r="AP284" s="32"/>
      <c r="AQ284" s="32"/>
      <c r="AR284" s="32"/>
      <c r="AS284" s="32"/>
      <c r="AT284" s="32"/>
      <c r="AU284" s="32"/>
      <c r="AV284" s="32"/>
      <c r="AW284" s="32"/>
      <c r="AX284" s="32"/>
      <c r="AY284" s="32"/>
      <c r="AZ284" s="32"/>
      <c r="BA284" s="32"/>
      <c r="BB284" s="32"/>
      <c r="BC284" s="32"/>
      <c r="BD284" s="32"/>
      <c r="BE284" s="32"/>
      <c r="BF284" s="32"/>
      <c r="BG284" s="32"/>
      <c r="BH284" s="32"/>
      <c r="BI284" s="32"/>
      <c r="BJ284" s="32"/>
      <c r="BK284" s="32"/>
      <c r="BL284" s="32"/>
      <c r="BM284" s="32"/>
      <c r="BN284" s="32"/>
      <c r="BO284" s="32"/>
      <c r="BP284" s="32"/>
      <c r="BQ284" s="32"/>
      <c r="BR284" s="32"/>
      <c r="BS284" s="32"/>
      <c r="BT284" s="32"/>
      <c r="BU284" s="32"/>
      <c r="BV284" s="32"/>
      <c r="BW284" s="32"/>
      <c r="BX284" s="32"/>
      <c r="BY284" s="32"/>
      <c r="BZ284" s="32"/>
      <c r="CA284" s="32"/>
      <c r="CB284" s="32"/>
      <c r="CC284" s="32"/>
      <c r="CD284" s="32"/>
      <c r="CE284" s="32"/>
      <c r="CF284" s="32"/>
      <c r="CG284" s="32"/>
      <c r="CH284" s="32"/>
      <c r="CI284" s="32"/>
      <c r="CJ284" s="32"/>
      <c r="CK284" s="32"/>
      <c r="CL284" s="32"/>
      <c r="CM284" s="32"/>
      <c r="CN284" s="32"/>
      <c r="CO284" s="32"/>
      <c r="CP284" s="32"/>
      <c r="CQ284" s="32"/>
      <c r="CR284" s="32"/>
      <c r="CS284" s="32"/>
      <c r="CT284" s="32"/>
      <c r="CU284" s="32"/>
      <c r="CV284" s="32"/>
      <c r="CW284" s="32"/>
      <c r="CX284" s="32"/>
      <c r="CY284" s="32"/>
      <c r="CZ284" s="32"/>
      <c r="DA284" s="32"/>
      <c r="DB284" s="32"/>
      <c r="DC284" s="32"/>
      <c r="DD284" s="32"/>
      <c r="DE284" s="32"/>
      <c r="DF284" s="32"/>
      <c r="DG284" s="32"/>
    </row>
    <row r="285" spans="3:111" ht="20.350000000000001" customHeight="1" x14ac:dyDescent="0.45">
      <c r="C285" s="47" t="s">
        <v>49</v>
      </c>
      <c r="D285" s="32" cm="1">
        <f t="array" ref="D285">DeltaPutGeom($C124,$C125,$C126,$C127,D175,$C128)</f>
        <v>-0.25376984232246902</v>
      </c>
      <c r="E285" s="32" cm="1">
        <f t="array" ref="E285">DeltaPutGeom($C124,$C125,$C126,$C127,E175,$C128)</f>
        <v>-0.29310611627896893</v>
      </c>
      <c r="F285" s="32" cm="1">
        <f t="array" ref="F285">DeltaPutGeom($C124,$C125,$C126,$C127,F175,$C128)</f>
        <v>-0.31557488681340173</v>
      </c>
      <c r="G285" s="32" cm="1">
        <f t="array" ref="G285">DeltaPutGeom($C124,$C125,$C126,$C127,G175,$C128)</f>
        <v>-0.32411702354027616</v>
      </c>
      <c r="H285" s="32" cm="1">
        <f t="array" ref="H285">DeltaPutGeom($C124,$C125,$C126,$C127,H175,$C128)</f>
        <v>-0.3351258925487362</v>
      </c>
      <c r="I285" s="32" cm="1">
        <f t="array" ref="I285">DeltaPutGeom($C124,$C125,$C126,$C127,I175,$C128)</f>
        <v>-0.34373636686966574</v>
      </c>
      <c r="J285" s="32" cm="1">
        <f t="array" ref="J285">DeltaPutGeom($C124,$C125,$C126,$C127,J175,$C128)</f>
        <v>-0.34847381014195167</v>
      </c>
      <c r="K285" s="32" cm="1">
        <f t="array" ref="K285">DeltaPutGeom($C124,$C125,$C126,$C127,K175,$C128)</f>
        <v>-0.35279252061813127</v>
      </c>
      <c r="L285" s="32" cm="1">
        <f t="array" ref="L285">DeltaPutGeom($C124,$C125,$C126,$C127,L175,$C128)</f>
        <v>-0.35652039086702614</v>
      </c>
      <c r="M285" s="32" cm="1">
        <f t="array" ref="M285">DeltaPutGeom($C124,$C125,$C126,$C127,M175,$C128)</f>
        <v>-0.35947469263693699</v>
      </c>
      <c r="N285" s="32" cm="1">
        <f t="array" ref="N285">DeltaPutGeom($C124,$C125,$C126,$C127,N175,$C128)</f>
        <v>-0.36195920623677352</v>
      </c>
      <c r="O285" s="32" cm="1">
        <f t="array" ref="O285">DeltaPutGeom($C124,$C125,$C126,$C127,O175,$C128)</f>
        <v>-0.36413308574089343</v>
      </c>
      <c r="P285" s="32" cm="1">
        <f t="array" ref="P285">DeltaPutGeom($C124,$C125,$C126,$C127,P175,$C128)</f>
        <v>-0.36598367749327981</v>
      </c>
      <c r="Q285" s="32" cm="1">
        <f t="array" ref="Q285">DeltaPutGeom($C124,$C125,$C126,$C127,Q175,$C128)</f>
        <v>-0.36760529430706118</v>
      </c>
      <c r="R285" s="32" cm="1">
        <f t="array" ref="R285">DeltaPutGeom($C124,$C125,$C126,$C127,R175,$C128)</f>
        <v>-0.36904200102722856</v>
      </c>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c r="AP285" s="32"/>
      <c r="AQ285" s="32"/>
      <c r="AR285" s="32"/>
      <c r="AS285" s="32"/>
      <c r="AT285" s="32"/>
      <c r="AU285" s="32"/>
      <c r="AV285" s="32"/>
      <c r="AW285" s="32"/>
      <c r="AX285" s="32"/>
      <c r="AY285" s="32"/>
      <c r="AZ285" s="32"/>
      <c r="BA285" s="32"/>
      <c r="BB285" s="32"/>
      <c r="BC285" s="32"/>
      <c r="BD285" s="32"/>
      <c r="BE285" s="32"/>
      <c r="BF285" s="32"/>
      <c r="BG285" s="32"/>
      <c r="BH285" s="32"/>
      <c r="BI285" s="32"/>
      <c r="BJ285" s="32"/>
      <c r="BK285" s="32"/>
      <c r="BL285" s="32"/>
      <c r="BM285" s="32"/>
      <c r="BN285" s="32"/>
      <c r="BO285" s="32"/>
      <c r="BP285" s="32"/>
      <c r="BQ285" s="32"/>
      <c r="BR285" s="32"/>
      <c r="BS285" s="32"/>
      <c r="BT285" s="32"/>
      <c r="BU285" s="32"/>
      <c r="BV285" s="32"/>
      <c r="BW285" s="32"/>
      <c r="BX285" s="32"/>
      <c r="BY285" s="32"/>
      <c r="BZ285" s="32"/>
      <c r="CA285" s="32"/>
      <c r="CB285" s="32"/>
      <c r="CC285" s="32"/>
      <c r="CD285" s="32"/>
      <c r="CE285" s="32"/>
      <c r="CF285" s="32"/>
      <c r="CG285" s="32"/>
      <c r="CH285" s="32"/>
      <c r="CI285" s="32"/>
      <c r="CJ285" s="32"/>
      <c r="CK285" s="32"/>
      <c r="CL285" s="32"/>
      <c r="CM285" s="32"/>
      <c r="CN285" s="32"/>
      <c r="CO285" s="32"/>
      <c r="CP285" s="32"/>
      <c r="CQ285" s="32"/>
      <c r="CR285" s="32"/>
      <c r="CS285" s="32"/>
      <c r="CT285" s="32"/>
      <c r="CU285" s="32"/>
      <c r="CV285" s="32"/>
      <c r="CW285" s="32"/>
      <c r="CX285" s="32"/>
      <c r="CY285" s="32"/>
      <c r="CZ285" s="32"/>
      <c r="DA285" s="32"/>
      <c r="DB285" s="32"/>
      <c r="DC285" s="32"/>
      <c r="DD285" s="32"/>
      <c r="DE285" s="32"/>
      <c r="DF285" s="32"/>
      <c r="DG285" s="32"/>
    </row>
    <row r="286" spans="3:111" ht="20.350000000000001" customHeight="1" x14ac:dyDescent="0.45">
      <c r="C286" s="47" t="s">
        <v>50</v>
      </c>
      <c r="D286" s="32">
        <f>LOG(ABS(D284-$U280))</f>
        <v>-0.76502688957942699</v>
      </c>
      <c r="E286" s="32">
        <f t="shared" ref="E286:R286" si="65">LOG(ABS(E284-$U280))</f>
        <v>-3.2838899544220097</v>
      </c>
      <c r="F286" s="32">
        <f t="shared" si="65"/>
        <v>-1.1180698453907612</v>
      </c>
      <c r="G286" s="32">
        <f t="shared" si="65"/>
        <v>-1.2734634863243115</v>
      </c>
      <c r="H286" s="32">
        <f t="shared" si="65"/>
        <v>-1.156980798459174</v>
      </c>
      <c r="I286" s="32">
        <f t="shared" si="65"/>
        <v>-1.089167740571455</v>
      </c>
      <c r="J286" s="32">
        <f t="shared" si="65"/>
        <v>-1.0796785913805236</v>
      </c>
      <c r="K286" s="32">
        <f t="shared" si="65"/>
        <v>-1.0313768044127245</v>
      </c>
      <c r="L286" s="32">
        <f t="shared" si="65"/>
        <v>-1.0234064094676829</v>
      </c>
      <c r="M286" s="32">
        <f t="shared" si="65"/>
        <v>-1.002723352268988</v>
      </c>
      <c r="N286" s="32">
        <f t="shared" si="65"/>
        <v>-0.99505889620140897</v>
      </c>
      <c r="O286" s="32">
        <f t="shared" si="65"/>
        <v>-0.98486597380171692</v>
      </c>
      <c r="P286" s="32">
        <f t="shared" si="65"/>
        <v>-0.97737050558134653</v>
      </c>
      <c r="Q286" s="32">
        <f t="shared" si="65"/>
        <v>-0.97116476420311471</v>
      </c>
      <c r="R286" s="32">
        <f t="shared" si="65"/>
        <v>-0.96466251959604943</v>
      </c>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c r="AP286" s="32"/>
      <c r="AQ286" s="32"/>
      <c r="AR286" s="32"/>
      <c r="AS286" s="32"/>
      <c r="AT286" s="32"/>
      <c r="AU286" s="32"/>
      <c r="AV286" s="32"/>
      <c r="AW286" s="32"/>
      <c r="AX286" s="32"/>
      <c r="AY286" s="32"/>
      <c r="AZ286" s="32"/>
      <c r="BA286" s="32"/>
      <c r="BB286" s="32"/>
      <c r="BC286" s="32"/>
      <c r="BD286" s="32"/>
      <c r="BE286" s="32"/>
      <c r="BF286" s="32"/>
      <c r="BG286" s="32"/>
      <c r="BH286" s="32"/>
      <c r="BI286" s="32"/>
      <c r="BJ286" s="32"/>
      <c r="BK286" s="32"/>
      <c r="BL286" s="32"/>
      <c r="BM286" s="32"/>
      <c r="BN286" s="32"/>
      <c r="BO286" s="32"/>
      <c r="BP286" s="32"/>
      <c r="BQ286" s="32"/>
      <c r="BR286" s="32"/>
      <c r="BS286" s="32"/>
      <c r="BT286" s="32"/>
      <c r="BU286" s="32"/>
      <c r="BV286" s="32"/>
      <c r="BW286" s="32"/>
      <c r="BX286" s="32"/>
      <c r="BY286" s="32"/>
      <c r="BZ286" s="32"/>
      <c r="CA286" s="32"/>
      <c r="CB286" s="32"/>
      <c r="CC286" s="32"/>
      <c r="CD286" s="32"/>
      <c r="CE286" s="32"/>
      <c r="CF286" s="32"/>
      <c r="CG286" s="32"/>
      <c r="CH286" s="32"/>
      <c r="CI286" s="32"/>
      <c r="CJ286" s="32"/>
      <c r="CK286" s="32"/>
      <c r="CL286" s="32"/>
      <c r="CM286" s="32"/>
      <c r="CN286" s="32"/>
      <c r="CO286" s="32"/>
      <c r="CP286" s="32"/>
      <c r="CQ286" s="32"/>
      <c r="CR286" s="32"/>
      <c r="CS286" s="32"/>
      <c r="CT286" s="32"/>
      <c r="CU286" s="32"/>
      <c r="CV286" s="32"/>
      <c r="CW286" s="32"/>
      <c r="CX286" s="32"/>
      <c r="CY286" s="32"/>
      <c r="CZ286" s="32"/>
      <c r="DA286" s="32"/>
      <c r="DB286" s="32"/>
      <c r="DC286" s="32"/>
      <c r="DD286" s="32"/>
      <c r="DE286" s="32"/>
      <c r="DF286" s="32"/>
      <c r="DG286" s="32"/>
    </row>
    <row r="287" spans="3:111" ht="20.350000000000001" customHeight="1" x14ac:dyDescent="0.45">
      <c r="C287" s="47" t="s">
        <v>51</v>
      </c>
      <c r="D287" s="32">
        <f>LOG(ABS(D285-$U281))</f>
        <v>-0.87983319590159526</v>
      </c>
      <c r="E287" s="32">
        <f t="shared" ref="E287:R287" si="66">LOG(ABS(E285-$U281))</f>
        <v>-1.033670310958767</v>
      </c>
      <c r="F287" s="32">
        <f t="shared" si="66"/>
        <v>-1.1544600062894774</v>
      </c>
      <c r="G287" s="32">
        <f t="shared" si="66"/>
        <v>-1.2109191970493252</v>
      </c>
      <c r="H287" s="32">
        <f t="shared" si="66"/>
        <v>-1.2965343796939441</v>
      </c>
      <c r="I287" s="32">
        <f t="shared" si="66"/>
        <v>-1.3776845078363864</v>
      </c>
      <c r="J287" s="32">
        <f t="shared" si="66"/>
        <v>-1.4297800121675395</v>
      </c>
      <c r="K287" s="32">
        <f t="shared" si="66"/>
        <v>-1.483416546054164</v>
      </c>
      <c r="L287" s="32">
        <f t="shared" si="66"/>
        <v>-1.5357226331956106</v>
      </c>
      <c r="M287" s="32">
        <f t="shared" si="66"/>
        <v>-1.5821719669479513</v>
      </c>
      <c r="N287" s="32">
        <f t="shared" si="66"/>
        <v>-1.6254908318652315</v>
      </c>
      <c r="O287" s="32">
        <f t="shared" si="66"/>
        <v>-1.6672975723123913</v>
      </c>
      <c r="P287" s="32">
        <f t="shared" si="66"/>
        <v>-1.7063617039682704</v>
      </c>
      <c r="Q287" s="32">
        <f t="shared" si="66"/>
        <v>-1.7437426846262369</v>
      </c>
      <c r="R287" s="32">
        <f t="shared" si="66"/>
        <v>-1.77978318023879</v>
      </c>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c r="AP287" s="32"/>
      <c r="AQ287" s="32"/>
      <c r="AR287" s="32"/>
      <c r="AS287" s="32"/>
      <c r="AT287" s="32"/>
      <c r="AU287" s="32"/>
      <c r="AV287" s="32"/>
      <c r="AW287" s="32"/>
      <c r="AX287" s="32"/>
      <c r="AY287" s="32"/>
      <c r="AZ287" s="32"/>
      <c r="BA287" s="32"/>
      <c r="BB287" s="32"/>
      <c r="BC287" s="32"/>
      <c r="BD287" s="32"/>
      <c r="BE287" s="32"/>
      <c r="BF287" s="32"/>
      <c r="BG287" s="32"/>
      <c r="BH287" s="32"/>
      <c r="BI287" s="32"/>
      <c r="BJ287" s="32"/>
      <c r="BK287" s="32"/>
      <c r="BL287" s="32"/>
      <c r="BM287" s="32"/>
      <c r="BN287" s="32"/>
      <c r="BO287" s="32"/>
      <c r="BP287" s="32"/>
      <c r="BQ287" s="32"/>
      <c r="BR287" s="32"/>
      <c r="BS287" s="32"/>
      <c r="BT287" s="32"/>
      <c r="BU287" s="32"/>
      <c r="BV287" s="32"/>
      <c r="BW287" s="32"/>
      <c r="BX287" s="32"/>
      <c r="BY287" s="32"/>
      <c r="BZ287" s="32"/>
      <c r="CA287" s="32"/>
      <c r="CB287" s="32"/>
      <c r="CC287" s="32"/>
      <c r="CD287" s="32"/>
      <c r="CE287" s="32"/>
      <c r="CF287" s="32"/>
      <c r="CG287" s="32"/>
      <c r="CH287" s="32"/>
      <c r="CI287" s="32"/>
      <c r="CJ287" s="32"/>
      <c r="CK287" s="32"/>
      <c r="CL287" s="32"/>
      <c r="CM287" s="32"/>
      <c r="CN287" s="32"/>
      <c r="CO287" s="32"/>
      <c r="CP287" s="32"/>
      <c r="CQ287" s="32"/>
      <c r="CR287" s="32"/>
      <c r="CS287" s="32"/>
      <c r="CT287" s="32"/>
      <c r="CU287" s="32"/>
      <c r="CV287" s="32"/>
      <c r="CW287" s="32"/>
      <c r="CX287" s="32"/>
      <c r="CY287" s="32"/>
      <c r="CZ287" s="32"/>
      <c r="DA287" s="32"/>
      <c r="DB287" s="32"/>
      <c r="DC287" s="32"/>
      <c r="DD287" s="32"/>
      <c r="DE287" s="32"/>
      <c r="DF287" s="32"/>
      <c r="DG287" s="32"/>
    </row>
  </sheetData>
  <dataValidations count="1">
    <dataValidation type="list" allowBlank="1" showInputMessage="1" showErrorMessage="1" sqref="B121" xr:uid="{C21D6FEA-DB3E-4177-A8D3-37E280A6219B}">
      <formula1>$Z$121:$Z$135</formula1>
    </dataValidation>
  </dataValidations>
  <pageMargins left="0.7" right="0.7" top="0.75" bottom="0.75" header="0.3" footer="0.3"/>
  <pageSetup paperSize="9" orientation="portrait" r:id="rId1"/>
  <ignoredErrors>
    <ignoredError sqref="D209:G209 H209:R209" evalError="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98E14-96D8-4692-8A21-210358A31A48}">
  <sheetPr codeName="Sheet2"/>
  <dimension ref="A1:K24"/>
  <sheetViews>
    <sheetView zoomScaleNormal="100" workbookViewId="0">
      <selection activeCell="O26" sqref="O26"/>
    </sheetView>
  </sheetViews>
  <sheetFormatPr defaultRowHeight="14.25" x14ac:dyDescent="0.45"/>
  <sheetData>
    <row r="1" spans="1:11" ht="26.65" x14ac:dyDescent="0.85">
      <c r="A1" s="40" t="s">
        <v>30</v>
      </c>
    </row>
    <row r="3" spans="1:11" s="2" customFormat="1" x14ac:dyDescent="0.45">
      <c r="A3" s="2" t="s">
        <v>31</v>
      </c>
      <c r="B3" s="2" t="s">
        <v>32</v>
      </c>
      <c r="C3" s="2" t="s">
        <v>33</v>
      </c>
      <c r="D3" s="2" t="s">
        <v>91</v>
      </c>
      <c r="E3" s="2" t="s">
        <v>140</v>
      </c>
      <c r="F3" s="2" t="s">
        <v>141</v>
      </c>
      <c r="G3" s="2" t="s">
        <v>142</v>
      </c>
      <c r="H3" s="2" t="s">
        <v>143</v>
      </c>
      <c r="I3" s="2" t="s">
        <v>144</v>
      </c>
      <c r="J3" s="2" t="s">
        <v>145</v>
      </c>
      <c r="K3" s="2" t="s">
        <v>146</v>
      </c>
    </row>
    <row r="4" spans="1:11" x14ac:dyDescent="0.45">
      <c r="A4" s="3"/>
      <c r="B4" s="3"/>
      <c r="C4" s="3"/>
      <c r="D4" s="3"/>
      <c r="E4" s="3"/>
      <c r="F4" s="3"/>
      <c r="G4" s="3"/>
      <c r="H4" s="3"/>
      <c r="I4" s="3"/>
      <c r="J4" s="3"/>
      <c r="K4" s="3">
        <v>93.513352332788912</v>
      </c>
    </row>
    <row r="5" spans="1:11" x14ac:dyDescent="0.45">
      <c r="A5" s="3"/>
      <c r="B5" s="3"/>
      <c r="C5" s="3"/>
      <c r="D5" s="3"/>
      <c r="E5" s="3"/>
      <c r="F5" s="3"/>
      <c r="G5" s="3"/>
      <c r="H5" s="3"/>
      <c r="I5" s="3"/>
      <c r="J5" s="3">
        <v>81.648139980791939</v>
      </c>
      <c r="K5" s="3"/>
    </row>
    <row r="6" spans="1:11" x14ac:dyDescent="0.45">
      <c r="A6" s="3"/>
      <c r="B6" s="3"/>
      <c r="C6" s="3"/>
      <c r="D6" s="3"/>
      <c r="E6" s="3"/>
      <c r="F6" s="3"/>
      <c r="G6" s="3"/>
      <c r="H6" s="3"/>
      <c r="I6" s="3">
        <v>70.570253055187905</v>
      </c>
      <c r="J6" s="3"/>
      <c r="K6" s="3">
        <v>70.59940902860285</v>
      </c>
    </row>
    <row r="7" spans="1:11" x14ac:dyDescent="0.45">
      <c r="A7" s="3"/>
      <c r="B7" s="3"/>
      <c r="C7" s="3"/>
      <c r="D7" s="3"/>
      <c r="E7" s="3"/>
      <c r="F7" s="3"/>
      <c r="G7" s="3"/>
      <c r="H7" s="3">
        <v>60.22924695098002</v>
      </c>
      <c r="I7" s="3"/>
      <c r="J7" s="3">
        <v>60.198068660135732</v>
      </c>
      <c r="K7" s="3"/>
    </row>
    <row r="8" spans="1:11" x14ac:dyDescent="0.45">
      <c r="A8" s="3"/>
      <c r="B8" s="3"/>
      <c r="C8" s="3"/>
      <c r="D8" s="3"/>
      <c r="E8" s="3"/>
      <c r="F8" s="3"/>
      <c r="G8" s="3">
        <v>50.57790047460297</v>
      </c>
      <c r="H8" s="3"/>
      <c r="I8" s="3">
        <v>50.490533316281919</v>
      </c>
      <c r="J8" s="3"/>
      <c r="K8" s="3">
        <v>50.398708978269951</v>
      </c>
    </row>
    <row r="9" spans="1:11" x14ac:dyDescent="0.45">
      <c r="A9" s="3"/>
      <c r="B9" s="3"/>
      <c r="C9" s="3"/>
      <c r="D9" s="3"/>
      <c r="E9" s="3"/>
      <c r="F9" s="3">
        <v>41.572009910604365</v>
      </c>
      <c r="G9" s="3"/>
      <c r="H9" s="3">
        <v>41.432333002971944</v>
      </c>
      <c r="I9" s="3"/>
      <c r="J9" s="3">
        <v>41.287903305590916</v>
      </c>
      <c r="K9" s="3"/>
    </row>
    <row r="10" spans="1:11" x14ac:dyDescent="0.45">
      <c r="A10" s="3"/>
      <c r="B10" s="3"/>
      <c r="C10" s="3"/>
      <c r="D10" s="3"/>
      <c r="E10" s="3">
        <v>33.308995933411495</v>
      </c>
      <c r="F10" s="3"/>
      <c r="G10" s="3">
        <v>32.981839445711792</v>
      </c>
      <c r="H10" s="3"/>
      <c r="I10" s="3">
        <v>32.788456019691679</v>
      </c>
      <c r="J10" s="3"/>
      <c r="K10" s="3">
        <v>32.589976665967782</v>
      </c>
    </row>
    <row r="11" spans="1:11" x14ac:dyDescent="0.45">
      <c r="A11" s="3"/>
      <c r="B11" s="3"/>
      <c r="C11" s="3"/>
      <c r="D11" s="3">
        <v>25.967318454090236</v>
      </c>
      <c r="E11" s="3"/>
      <c r="F11" s="3">
        <v>25.379071915552721</v>
      </c>
      <c r="G11" s="3"/>
      <c r="H11" s="3">
        <v>24.861164282908749</v>
      </c>
      <c r="I11" s="3"/>
      <c r="J11" s="3">
        <v>24.616893293989346</v>
      </c>
      <c r="K11" s="3"/>
    </row>
    <row r="12" spans="1:11" x14ac:dyDescent="0.45">
      <c r="A12" s="3"/>
      <c r="B12" s="3"/>
      <c r="C12" s="3">
        <v>19.696475671784594</v>
      </c>
      <c r="D12" s="3"/>
      <c r="E12" s="3">
        <v>18.885314159309875</v>
      </c>
      <c r="F12" s="3"/>
      <c r="G12" s="3">
        <v>18.030095104549172</v>
      </c>
      <c r="H12" s="3"/>
      <c r="I12" s="3">
        <v>17.182484188954898</v>
      </c>
      <c r="J12" s="3"/>
      <c r="K12" s="3">
        <v>16.889978854950797</v>
      </c>
    </row>
    <row r="13" spans="1:11" x14ac:dyDescent="0.45">
      <c r="A13" s="3"/>
      <c r="B13" s="3">
        <v>14.552834703900649</v>
      </c>
      <c r="C13" s="3"/>
      <c r="D13" s="3">
        <v>13.622597646196787</v>
      </c>
      <c r="E13" s="3"/>
      <c r="F13" s="3">
        <v>12.580409544660123</v>
      </c>
      <c r="G13" s="3"/>
      <c r="H13" s="3">
        <v>11.379326877235084</v>
      </c>
      <c r="I13" s="3"/>
      <c r="J13" s="3">
        <v>9.9198999258099985</v>
      </c>
      <c r="K13" s="3"/>
    </row>
    <row r="14" spans="1:11" x14ac:dyDescent="0.45">
      <c r="A14" s="3">
        <v>10.492229833519369</v>
      </c>
      <c r="B14" s="3"/>
      <c r="C14" s="3">
        <v>9.554722083055708</v>
      </c>
      <c r="D14" s="3"/>
      <c r="E14" s="3">
        <v>8.4961071095456671</v>
      </c>
      <c r="F14" s="3"/>
      <c r="G14" s="3">
        <v>7.2565280802176693</v>
      </c>
      <c r="H14" s="3"/>
      <c r="I14" s="3">
        <v>5.6899628342876154</v>
      </c>
      <c r="J14" s="3"/>
      <c r="K14" s="3">
        <v>3.0490199959272957</v>
      </c>
    </row>
    <row r="15" spans="1:11" x14ac:dyDescent="0.45">
      <c r="A15" s="3"/>
      <c r="B15" s="3">
        <v>6.5365472614732791</v>
      </c>
      <c r="C15" s="3"/>
      <c r="D15" s="3">
        <v>5.5823937407451822</v>
      </c>
      <c r="E15" s="3"/>
      <c r="F15" s="3">
        <v>4.4967657455266625</v>
      </c>
      <c r="G15" s="3"/>
      <c r="H15" s="3">
        <v>3.2062945640024298</v>
      </c>
      <c r="I15" s="3"/>
      <c r="J15" s="3">
        <v>1.5169253711081074</v>
      </c>
      <c r="K15" s="3"/>
    </row>
    <row r="16" spans="1:11" x14ac:dyDescent="0.45">
      <c r="A16" s="3"/>
      <c r="B16" s="3"/>
      <c r="C16" s="3">
        <v>3.5837379125055819</v>
      </c>
      <c r="D16" s="3"/>
      <c r="E16" s="3">
        <v>2.7245043093521462</v>
      </c>
      <c r="F16" s="3"/>
      <c r="G16" s="3">
        <v>1.7819710682909216</v>
      </c>
      <c r="H16" s="3"/>
      <c r="I16" s="3">
        <v>0.75468923935726751</v>
      </c>
      <c r="J16" s="3"/>
      <c r="K16" s="4">
        <v>0</v>
      </c>
    </row>
    <row r="17" spans="1:11" x14ac:dyDescent="0.45">
      <c r="A17" s="3"/>
      <c r="B17" s="3"/>
      <c r="C17" s="3"/>
      <c r="D17" s="3">
        <v>1.620919463391036</v>
      </c>
      <c r="E17" s="3"/>
      <c r="F17" s="3">
        <v>0.9794879162711505</v>
      </c>
      <c r="G17" s="3"/>
      <c r="H17" s="3">
        <v>0.3754672832623222</v>
      </c>
      <c r="I17" s="3"/>
      <c r="J17" s="4">
        <v>0</v>
      </c>
      <c r="K17" s="3"/>
    </row>
    <row r="18" spans="1:11" x14ac:dyDescent="0.45">
      <c r="A18" s="3"/>
      <c r="B18" s="3"/>
      <c r="C18" s="3"/>
      <c r="D18" s="3"/>
      <c r="E18" s="3">
        <v>0.53354381206383583</v>
      </c>
      <c r="F18" s="3"/>
      <c r="G18" s="3">
        <v>0.18679964341409067</v>
      </c>
      <c r="H18" s="3"/>
      <c r="I18" s="4">
        <v>0</v>
      </c>
      <c r="J18" s="3"/>
      <c r="K18" s="4">
        <v>0</v>
      </c>
    </row>
    <row r="19" spans="1:11" x14ac:dyDescent="0.45">
      <c r="A19" s="3"/>
      <c r="B19" s="3"/>
      <c r="C19" s="3"/>
      <c r="D19" s="3"/>
      <c r="E19" s="3"/>
      <c r="F19" s="3">
        <v>9.2935145977159545E-2</v>
      </c>
      <c r="G19" s="3"/>
      <c r="H19" s="4">
        <v>0</v>
      </c>
      <c r="I19" s="3"/>
      <c r="J19" s="4">
        <v>0</v>
      </c>
      <c r="K19" s="3"/>
    </row>
    <row r="20" spans="1:11" x14ac:dyDescent="0.45">
      <c r="A20" s="3"/>
      <c r="B20" s="3"/>
      <c r="C20" s="3"/>
      <c r="D20" s="3"/>
      <c r="E20" s="3"/>
      <c r="F20" s="3"/>
      <c r="G20" s="4">
        <v>0</v>
      </c>
      <c r="H20" s="3"/>
      <c r="I20" s="4">
        <v>0</v>
      </c>
      <c r="J20" s="3"/>
      <c r="K20" s="4">
        <v>0</v>
      </c>
    </row>
    <row r="21" spans="1:11" x14ac:dyDescent="0.45">
      <c r="A21" s="3"/>
      <c r="B21" s="3"/>
      <c r="C21" s="3"/>
      <c r="D21" s="3"/>
      <c r="E21" s="3"/>
      <c r="F21" s="3"/>
      <c r="G21" s="3"/>
      <c r="H21" s="4">
        <v>0</v>
      </c>
      <c r="I21" s="3"/>
      <c r="J21" s="4">
        <v>0</v>
      </c>
      <c r="K21" s="3"/>
    </row>
    <row r="22" spans="1:11" x14ac:dyDescent="0.45">
      <c r="A22" s="3"/>
      <c r="B22" s="3"/>
      <c r="C22" s="3"/>
      <c r="D22" s="3"/>
      <c r="E22" s="3"/>
      <c r="F22" s="3"/>
      <c r="G22" s="3"/>
      <c r="H22" s="3"/>
      <c r="I22" s="4">
        <v>0</v>
      </c>
      <c r="J22" s="3"/>
      <c r="K22" s="4">
        <v>0</v>
      </c>
    </row>
    <row r="23" spans="1:11" x14ac:dyDescent="0.45">
      <c r="A23" s="3"/>
      <c r="B23" s="3"/>
      <c r="C23" s="3"/>
      <c r="D23" s="3"/>
      <c r="E23" s="3"/>
      <c r="F23" s="3"/>
      <c r="G23" s="3"/>
      <c r="H23" s="3"/>
      <c r="I23" s="3"/>
      <c r="J23" s="4">
        <v>0</v>
      </c>
      <c r="K23" s="3"/>
    </row>
    <row r="24" spans="1:11" x14ac:dyDescent="0.45">
      <c r="A24" s="3"/>
      <c r="B24" s="3"/>
      <c r="C24" s="3"/>
      <c r="D24" s="3"/>
      <c r="E24" s="3"/>
      <c r="F24" s="3"/>
      <c r="G24" s="3"/>
      <c r="H24" s="3"/>
      <c r="I24" s="3"/>
      <c r="J24" s="3"/>
      <c r="K24" s="4">
        <v>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ABB4-8325-4F1B-9244-86111BF322C9}">
  <sheetPr codeName="Sheet4"/>
  <dimension ref="A1:J22"/>
  <sheetViews>
    <sheetView zoomScaleNormal="100" workbookViewId="0">
      <selection activeCell="L25" sqref="L25"/>
    </sheetView>
  </sheetViews>
  <sheetFormatPr defaultRowHeight="14.25" x14ac:dyDescent="0.45"/>
  <sheetData>
    <row r="1" spans="1:10" ht="26.65" x14ac:dyDescent="0.85">
      <c r="A1" s="40" t="s">
        <v>36</v>
      </c>
    </row>
    <row r="3" spans="1:10" s="2" customFormat="1" x14ac:dyDescent="0.45">
      <c r="A3" s="2" t="s">
        <v>31</v>
      </c>
      <c r="B3" s="2" t="s">
        <v>32</v>
      </c>
      <c r="C3" s="2" t="s">
        <v>33</v>
      </c>
      <c r="D3" s="2" t="s">
        <v>91</v>
      </c>
      <c r="E3" s="2" t="s">
        <v>140</v>
      </c>
      <c r="F3" s="2" t="s">
        <v>141</v>
      </c>
      <c r="G3" s="2" t="s">
        <v>142</v>
      </c>
      <c r="H3" s="2" t="s">
        <v>143</v>
      </c>
      <c r="I3" s="2" t="s">
        <v>144</v>
      </c>
      <c r="J3" s="2" t="s">
        <v>145</v>
      </c>
    </row>
    <row r="4" spans="1:10" x14ac:dyDescent="0.45">
      <c r="A4" s="3"/>
      <c r="B4" s="3"/>
      <c r="C4" s="3"/>
      <c r="D4" s="3"/>
      <c r="E4" s="3"/>
      <c r="F4" s="3"/>
      <c r="G4" s="3"/>
      <c r="H4" s="3"/>
      <c r="I4" s="3"/>
      <c r="J4" s="4">
        <v>1</v>
      </c>
    </row>
    <row r="5" spans="1:10" x14ac:dyDescent="0.45">
      <c r="A5" s="3"/>
      <c r="B5" s="3"/>
      <c r="C5" s="3"/>
      <c r="D5" s="3"/>
      <c r="E5" s="3"/>
      <c r="F5" s="3"/>
      <c r="G5" s="3"/>
      <c r="H5" s="3"/>
      <c r="I5" s="4">
        <v>1</v>
      </c>
      <c r="J5" s="3"/>
    </row>
    <row r="6" spans="1:10" x14ac:dyDescent="0.45">
      <c r="A6" s="3"/>
      <c r="B6" s="3"/>
      <c r="C6" s="3"/>
      <c r="D6" s="3"/>
      <c r="E6" s="3"/>
      <c r="F6" s="3"/>
      <c r="G6" s="3"/>
      <c r="H6" s="4">
        <v>1.0000000000000011</v>
      </c>
      <c r="I6" s="3"/>
      <c r="J6" s="4">
        <v>1</v>
      </c>
    </row>
    <row r="7" spans="1:10" x14ac:dyDescent="0.45">
      <c r="A7" s="3"/>
      <c r="B7" s="3"/>
      <c r="C7" s="3"/>
      <c r="D7" s="3"/>
      <c r="E7" s="3"/>
      <c r="F7" s="3"/>
      <c r="G7" s="4">
        <v>0.99999999999999889</v>
      </c>
      <c r="H7" s="3"/>
      <c r="I7" s="4">
        <v>1.0000000000000007</v>
      </c>
      <c r="J7" s="3"/>
    </row>
    <row r="8" spans="1:10" x14ac:dyDescent="0.45">
      <c r="A8" s="3"/>
      <c r="B8" s="3"/>
      <c r="C8" s="3"/>
      <c r="D8" s="3"/>
      <c r="E8" s="3"/>
      <c r="F8" s="4">
        <v>1.0000000000000004</v>
      </c>
      <c r="G8" s="3"/>
      <c r="H8" s="4">
        <v>0.99999999999999878</v>
      </c>
      <c r="I8" s="3"/>
      <c r="J8" s="4">
        <v>1</v>
      </c>
    </row>
    <row r="9" spans="1:10" x14ac:dyDescent="0.45">
      <c r="A9" s="3"/>
      <c r="B9" s="3"/>
      <c r="C9" s="3"/>
      <c r="D9" s="3"/>
      <c r="E9" s="3">
        <v>0.98306285583517561</v>
      </c>
      <c r="F9" s="3"/>
      <c r="G9" s="4">
        <v>1.0000000000000016</v>
      </c>
      <c r="H9" s="3"/>
      <c r="I9" s="4">
        <v>0.99999999999999933</v>
      </c>
      <c r="J9" s="3"/>
    </row>
    <row r="10" spans="1:10" x14ac:dyDescent="0.45">
      <c r="A10" s="3"/>
      <c r="B10" s="3"/>
      <c r="C10" s="3"/>
      <c r="D10" s="3">
        <v>0.93541183378219439</v>
      </c>
      <c r="E10" s="3"/>
      <c r="F10" s="3">
        <v>0.96385081070007428</v>
      </c>
      <c r="G10" s="3"/>
      <c r="H10" s="4">
        <v>1.0000000000000011</v>
      </c>
      <c r="I10" s="3"/>
      <c r="J10" s="4">
        <v>1</v>
      </c>
    </row>
    <row r="11" spans="1:10" x14ac:dyDescent="0.45">
      <c r="A11" s="3"/>
      <c r="B11" s="3"/>
      <c r="C11" s="3">
        <v>0.8552224516125686</v>
      </c>
      <c r="D11" s="3"/>
      <c r="E11" s="3">
        <v>0.88136059719197835</v>
      </c>
      <c r="F11" s="3"/>
      <c r="G11" s="3">
        <v>0.92284626768686173</v>
      </c>
      <c r="H11" s="3"/>
      <c r="I11" s="4">
        <v>1.0000000000000009</v>
      </c>
      <c r="J11" s="3"/>
    </row>
    <row r="12" spans="1:10" x14ac:dyDescent="0.45">
      <c r="A12" s="3"/>
      <c r="B12" s="3">
        <v>0.75055404425503569</v>
      </c>
      <c r="C12" s="3"/>
      <c r="D12" s="3">
        <v>0.76426248725221047</v>
      </c>
      <c r="E12" s="3"/>
      <c r="F12" s="3">
        <v>0.78779076690069927</v>
      </c>
      <c r="G12" s="3"/>
      <c r="H12" s="3">
        <v>0.83532968442367428</v>
      </c>
      <c r="I12" s="3"/>
      <c r="J12" s="4">
        <v>1</v>
      </c>
    </row>
    <row r="13" spans="1:10" x14ac:dyDescent="0.45">
      <c r="A13" s="3">
        <v>0.63374316741690917</v>
      </c>
      <c r="B13" s="3"/>
      <c r="C13" s="3">
        <v>0.63182717112915043</v>
      </c>
      <c r="D13" s="3"/>
      <c r="E13" s="3">
        <v>0.6314364245166767</v>
      </c>
      <c r="F13" s="3"/>
      <c r="G13" s="3">
        <v>0.63459537861109561</v>
      </c>
      <c r="H13" s="3"/>
      <c r="I13" s="3">
        <v>0.6485417876875802</v>
      </c>
      <c r="J13" s="3"/>
    </row>
    <row r="14" spans="1:10" x14ac:dyDescent="0.45">
      <c r="A14" s="3"/>
      <c r="B14" s="3">
        <v>0.50124291730122084</v>
      </c>
      <c r="C14" s="3"/>
      <c r="D14" s="3">
        <v>0.4816038958191588</v>
      </c>
      <c r="E14" s="3"/>
      <c r="F14" s="3">
        <v>0.45408145524214322</v>
      </c>
      <c r="G14" s="3"/>
      <c r="H14" s="3">
        <v>0.40689958137961563</v>
      </c>
      <c r="I14" s="3"/>
      <c r="J14" s="3">
        <v>0.24987770522254227</v>
      </c>
    </row>
    <row r="15" spans="1:10" x14ac:dyDescent="0.45">
      <c r="A15" s="3"/>
      <c r="B15" s="3"/>
      <c r="C15" s="3">
        <v>0.35311932845642224</v>
      </c>
      <c r="D15" s="3"/>
      <c r="E15" s="3">
        <v>0.31164671318967985</v>
      </c>
      <c r="F15" s="3"/>
      <c r="G15" s="3">
        <v>0.24932192733537523</v>
      </c>
      <c r="H15" s="3"/>
      <c r="I15" s="3">
        <v>0.13280136688987179</v>
      </c>
      <c r="J15" s="3"/>
    </row>
    <row r="16" spans="1:10" x14ac:dyDescent="0.45">
      <c r="A16" s="3"/>
      <c r="B16" s="3"/>
      <c r="C16" s="3"/>
      <c r="D16" s="3">
        <v>0.20737744403276256</v>
      </c>
      <c r="E16" s="3"/>
      <c r="F16" s="3">
        <v>0.15008094587446708</v>
      </c>
      <c r="G16" s="3"/>
      <c r="H16" s="3">
        <v>7.0579338129072064E-2</v>
      </c>
      <c r="I16" s="3"/>
      <c r="J16" s="4">
        <v>0</v>
      </c>
    </row>
    <row r="17" spans="1:10" x14ac:dyDescent="0.45">
      <c r="A17" s="3"/>
      <c r="B17" s="3"/>
      <c r="C17" s="3"/>
      <c r="D17" s="3"/>
      <c r="E17" s="3">
        <v>8.9103319082763671E-2</v>
      </c>
      <c r="F17" s="3"/>
      <c r="G17" s="3">
        <v>3.7510479653939277E-2</v>
      </c>
      <c r="H17" s="3"/>
      <c r="I17" s="4">
        <v>0</v>
      </c>
      <c r="J17" s="3"/>
    </row>
    <row r="18" spans="1:10" x14ac:dyDescent="0.45">
      <c r="A18" s="3"/>
      <c r="B18" s="3"/>
      <c r="C18" s="3"/>
      <c r="D18" s="3"/>
      <c r="E18" s="3"/>
      <c r="F18" s="3">
        <v>1.993552392479905E-2</v>
      </c>
      <c r="G18" s="3"/>
      <c r="H18" s="4">
        <v>0</v>
      </c>
      <c r="I18" s="3"/>
      <c r="J18" s="4">
        <v>0</v>
      </c>
    </row>
    <row r="19" spans="1:10" x14ac:dyDescent="0.45">
      <c r="A19" s="3"/>
      <c r="B19" s="3"/>
      <c r="C19" s="3"/>
      <c r="D19" s="3"/>
      <c r="E19" s="3"/>
      <c r="F19" s="3"/>
      <c r="G19" s="4">
        <v>0</v>
      </c>
      <c r="H19" s="3"/>
      <c r="I19" s="4">
        <v>0</v>
      </c>
      <c r="J19" s="3"/>
    </row>
    <row r="20" spans="1:10" x14ac:dyDescent="0.45">
      <c r="A20" s="3"/>
      <c r="B20" s="3"/>
      <c r="C20" s="3"/>
      <c r="D20" s="3"/>
      <c r="E20" s="3"/>
      <c r="F20" s="3"/>
      <c r="G20" s="3"/>
      <c r="H20" s="4">
        <v>0</v>
      </c>
      <c r="I20" s="3"/>
      <c r="J20" s="4">
        <v>0</v>
      </c>
    </row>
    <row r="21" spans="1:10" x14ac:dyDescent="0.45">
      <c r="A21" s="3"/>
      <c r="B21" s="3"/>
      <c r="C21" s="3"/>
      <c r="D21" s="3"/>
      <c r="E21" s="3"/>
      <c r="F21" s="3"/>
      <c r="G21" s="3"/>
      <c r="H21" s="3"/>
      <c r="I21" s="4">
        <v>0</v>
      </c>
      <c r="J21" s="3"/>
    </row>
    <row r="22" spans="1:10" x14ac:dyDescent="0.45">
      <c r="A22" s="3"/>
      <c r="B22" s="3"/>
      <c r="C22" s="3"/>
      <c r="D22" s="3"/>
      <c r="E22" s="3"/>
      <c r="F22" s="3"/>
      <c r="G22" s="3"/>
      <c r="H22" s="3"/>
      <c r="I22" s="3"/>
      <c r="J22" s="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27A7-6217-4346-A3F0-33818014C64E}">
  <sheetPr codeName="Sheet5"/>
  <dimension ref="A1:J22"/>
  <sheetViews>
    <sheetView workbookViewId="0">
      <selection activeCell="M24" sqref="M24"/>
    </sheetView>
  </sheetViews>
  <sheetFormatPr defaultRowHeight="14.25" x14ac:dyDescent="0.45"/>
  <sheetData>
    <row r="1" spans="1:10" ht="26.65" x14ac:dyDescent="0.85">
      <c r="A1" s="40" t="s">
        <v>37</v>
      </c>
    </row>
    <row r="3" spans="1:10" s="2" customFormat="1" x14ac:dyDescent="0.45">
      <c r="A3" s="2" t="s">
        <v>31</v>
      </c>
      <c r="B3" s="2" t="s">
        <v>32</v>
      </c>
      <c r="C3" s="2" t="s">
        <v>33</v>
      </c>
      <c r="D3" s="2" t="s">
        <v>91</v>
      </c>
      <c r="E3" s="2" t="s">
        <v>140</v>
      </c>
      <c r="F3" s="2" t="s">
        <v>141</v>
      </c>
      <c r="G3" s="2" t="s">
        <v>142</v>
      </c>
      <c r="H3" s="2" t="s">
        <v>143</v>
      </c>
      <c r="I3" s="2" t="s">
        <v>144</v>
      </c>
      <c r="J3" s="2" t="s">
        <v>145</v>
      </c>
    </row>
    <row r="4" spans="1:10" x14ac:dyDescent="0.45">
      <c r="A4" s="3"/>
      <c r="B4" s="3"/>
      <c r="C4" s="3"/>
      <c r="D4" s="3"/>
      <c r="E4" s="3"/>
      <c r="F4" s="3"/>
      <c r="G4" s="3"/>
      <c r="H4" s="3"/>
      <c r="I4" s="3"/>
      <c r="J4" s="3">
        <v>-99.502487562189032</v>
      </c>
    </row>
    <row r="5" spans="1:10" x14ac:dyDescent="0.45">
      <c r="A5" s="3"/>
      <c r="B5" s="3"/>
      <c r="C5" s="3"/>
      <c r="D5" s="3"/>
      <c r="E5" s="3"/>
      <c r="F5" s="3"/>
      <c r="G5" s="3"/>
      <c r="H5" s="3"/>
      <c r="I5" s="3">
        <v>-99.007450310635832</v>
      </c>
      <c r="J5" s="3"/>
    </row>
    <row r="6" spans="1:10" x14ac:dyDescent="0.45">
      <c r="A6" s="3"/>
      <c r="B6" s="3"/>
      <c r="C6" s="3"/>
      <c r="D6" s="3"/>
      <c r="E6" s="3"/>
      <c r="F6" s="3"/>
      <c r="G6" s="3"/>
      <c r="H6" s="3">
        <v>-98.514875930981106</v>
      </c>
      <c r="I6" s="3"/>
      <c r="J6" s="3">
        <v>-99.502487562189032</v>
      </c>
    </row>
    <row r="7" spans="1:10" x14ac:dyDescent="0.45">
      <c r="A7" s="3"/>
      <c r="B7" s="3"/>
      <c r="C7" s="3"/>
      <c r="D7" s="3"/>
      <c r="E7" s="3"/>
      <c r="F7" s="3"/>
      <c r="G7" s="3">
        <v>-98.024752170130071</v>
      </c>
      <c r="H7" s="3"/>
      <c r="I7" s="3">
        <v>-99.00745031063596</v>
      </c>
      <c r="J7" s="3"/>
    </row>
    <row r="8" spans="1:10" x14ac:dyDescent="0.45">
      <c r="A8" s="3"/>
      <c r="B8" s="3"/>
      <c r="C8" s="3"/>
      <c r="D8" s="3"/>
      <c r="E8" s="3"/>
      <c r="F8" s="3">
        <v>-97.53706683595054</v>
      </c>
      <c r="G8" s="3"/>
      <c r="H8" s="3">
        <v>-98.514875930980736</v>
      </c>
      <c r="I8" s="3"/>
      <c r="J8" s="3">
        <v>-99.502487562189046</v>
      </c>
    </row>
    <row r="9" spans="1:10" x14ac:dyDescent="0.45">
      <c r="A9" s="3"/>
      <c r="B9" s="3"/>
      <c r="C9" s="3"/>
      <c r="D9" s="3"/>
      <c r="E9" s="3">
        <v>-94.707419252197468</v>
      </c>
      <c r="F9" s="3"/>
      <c r="G9" s="3">
        <v>-98.024752170130455</v>
      </c>
      <c r="H9" s="3"/>
      <c r="I9" s="3">
        <v>-99.007450310635747</v>
      </c>
      <c r="J9" s="3"/>
    </row>
    <row r="10" spans="1:10" x14ac:dyDescent="0.45">
      <c r="A10" s="3"/>
      <c r="B10" s="3"/>
      <c r="C10" s="3"/>
      <c r="D10" s="3">
        <v>-88.061898174958117</v>
      </c>
      <c r="E10" s="3"/>
      <c r="F10" s="3">
        <v>-92.824845860966292</v>
      </c>
      <c r="G10" s="3"/>
      <c r="H10" s="3">
        <v>-98.514875930981077</v>
      </c>
      <c r="I10" s="3"/>
      <c r="J10" s="3">
        <v>-99.502487562189032</v>
      </c>
    </row>
    <row r="11" spans="1:10" x14ac:dyDescent="0.45">
      <c r="A11" s="3"/>
      <c r="B11" s="3"/>
      <c r="C11" s="3">
        <v>-77.89711140775853</v>
      </c>
      <c r="D11" s="3"/>
      <c r="E11" s="3">
        <v>-82.296996079468371</v>
      </c>
      <c r="F11" s="3"/>
      <c r="G11" s="3">
        <v>-88.553188010411446</v>
      </c>
      <c r="H11" s="3"/>
      <c r="I11" s="3">
        <v>-99.007450310635946</v>
      </c>
      <c r="J11" s="3"/>
    </row>
    <row r="12" spans="1:10" x14ac:dyDescent="0.45">
      <c r="A12" s="3"/>
      <c r="B12" s="3">
        <v>-65.624767317523904</v>
      </c>
      <c r="C12" s="3"/>
      <c r="D12" s="3">
        <v>-68.511295754636279</v>
      </c>
      <c r="E12" s="3"/>
      <c r="F12" s="3">
        <v>-72.59211625876533</v>
      </c>
      <c r="G12" s="3"/>
      <c r="H12" s="3">
        <v>-79.477031969945898</v>
      </c>
      <c r="I12" s="3"/>
      <c r="J12" s="3">
        <v>-99.502487562189046</v>
      </c>
    </row>
    <row r="13" spans="1:10" x14ac:dyDescent="0.45">
      <c r="A13" s="3">
        <v>-52.882086908171551</v>
      </c>
      <c r="B13" s="3"/>
      <c r="C13" s="3">
        <v>-54.008670900464658</v>
      </c>
      <c r="D13" s="3"/>
      <c r="E13" s="3">
        <v>-55.41070838735039</v>
      </c>
      <c r="F13" s="3"/>
      <c r="G13" s="3">
        <v>-57.356965669707016</v>
      </c>
      <c r="H13" s="3"/>
      <c r="I13" s="3">
        <v>-60.741383948955232</v>
      </c>
      <c r="J13" s="3"/>
    </row>
    <row r="14" spans="1:10" x14ac:dyDescent="0.45">
      <c r="A14" s="3"/>
      <c r="B14" s="3">
        <v>-40.668227367900862</v>
      </c>
      <c r="C14" s="3"/>
      <c r="D14" s="3">
        <v>-40.046132755297883</v>
      </c>
      <c r="E14" s="3"/>
      <c r="F14" s="3">
        <v>-38.78340759980864</v>
      </c>
      <c r="G14" s="3"/>
      <c r="H14" s="3">
        <v>-35.810469026165364</v>
      </c>
      <c r="I14" s="3"/>
      <c r="J14" s="3">
        <v>-22.587694175210835</v>
      </c>
    </row>
    <row r="15" spans="1:10" x14ac:dyDescent="0.45">
      <c r="A15" s="3"/>
      <c r="B15" s="3"/>
      <c r="C15" s="3">
        <v>-27.734466109016129</v>
      </c>
      <c r="D15" s="3"/>
      <c r="E15" s="3">
        <v>-25.082018450798401</v>
      </c>
      <c r="F15" s="3"/>
      <c r="G15" s="3">
        <v>-20.597683605908237</v>
      </c>
      <c r="H15" s="3"/>
      <c r="I15" s="3">
        <v>-11.237658793637213</v>
      </c>
      <c r="J15" s="3"/>
    </row>
    <row r="16" spans="1:10" x14ac:dyDescent="0.45">
      <c r="A16" s="3"/>
      <c r="B16" s="3"/>
      <c r="C16" s="3"/>
      <c r="D16" s="3">
        <v>-15.700144123824501</v>
      </c>
      <c r="E16" s="3"/>
      <c r="F16" s="3">
        <v>-11.631449486296248</v>
      </c>
      <c r="G16" s="3"/>
      <c r="H16" s="3">
        <v>-5.5908750217100716</v>
      </c>
      <c r="I16" s="3"/>
      <c r="J16" s="4">
        <v>0</v>
      </c>
    </row>
    <row r="17" spans="1:10" x14ac:dyDescent="0.45">
      <c r="A17" s="3"/>
      <c r="B17" s="3"/>
      <c r="C17" s="3"/>
      <c r="D17" s="3"/>
      <c r="E17" s="3">
        <v>-6.4752712380888493</v>
      </c>
      <c r="F17" s="3"/>
      <c r="G17" s="3">
        <v>-2.7815298615472921</v>
      </c>
      <c r="H17" s="3"/>
      <c r="I17" s="4">
        <v>0</v>
      </c>
      <c r="J17" s="3"/>
    </row>
    <row r="18" spans="1:10" x14ac:dyDescent="0.45">
      <c r="A18" s="3"/>
      <c r="B18" s="3"/>
      <c r="C18" s="3"/>
      <c r="D18" s="3"/>
      <c r="E18" s="3"/>
      <c r="F18" s="3">
        <v>-1.3838457022623365</v>
      </c>
      <c r="G18" s="3"/>
      <c r="H18" s="4">
        <v>0</v>
      </c>
      <c r="I18" s="3"/>
      <c r="J18" s="4">
        <v>0</v>
      </c>
    </row>
    <row r="19" spans="1:10" x14ac:dyDescent="0.45">
      <c r="A19" s="3"/>
      <c r="B19" s="3"/>
      <c r="C19" s="3"/>
      <c r="D19" s="3"/>
      <c r="E19" s="3"/>
      <c r="F19" s="3"/>
      <c r="G19" s="4">
        <v>0</v>
      </c>
      <c r="H19" s="3"/>
      <c r="I19" s="4">
        <v>0</v>
      </c>
      <c r="J19" s="3"/>
    </row>
    <row r="20" spans="1:10" x14ac:dyDescent="0.45">
      <c r="A20" s="3"/>
      <c r="B20" s="3"/>
      <c r="C20" s="3"/>
      <c r="D20" s="3"/>
      <c r="E20" s="3"/>
      <c r="F20" s="3"/>
      <c r="G20" s="3"/>
      <c r="H20" s="4">
        <v>0</v>
      </c>
      <c r="I20" s="3"/>
      <c r="J20" s="4">
        <v>0</v>
      </c>
    </row>
    <row r="21" spans="1:10" x14ac:dyDescent="0.45">
      <c r="A21" s="3"/>
      <c r="B21" s="3"/>
      <c r="C21" s="3"/>
      <c r="D21" s="3"/>
      <c r="E21" s="3"/>
      <c r="F21" s="3"/>
      <c r="G21" s="3"/>
      <c r="H21" s="3"/>
      <c r="I21" s="4">
        <v>0</v>
      </c>
      <c r="J21" s="3"/>
    </row>
    <row r="22" spans="1:10" x14ac:dyDescent="0.45">
      <c r="A22" s="3"/>
      <c r="B22" s="3"/>
      <c r="C22" s="3"/>
      <c r="D22" s="3"/>
      <c r="E22" s="3"/>
      <c r="F22" s="3"/>
      <c r="G22" s="3"/>
      <c r="H22" s="3"/>
      <c r="I22" s="3"/>
      <c r="J22" s="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5EDEF-6FED-4A4C-8A01-8322E34AD2F9}">
  <sheetPr codeName="Sheet3"/>
  <dimension ref="A1:IC68"/>
  <sheetViews>
    <sheetView zoomScale="69" zoomScaleNormal="69" workbookViewId="0">
      <selection activeCell="B3" sqref="B3"/>
    </sheetView>
  </sheetViews>
  <sheetFormatPr defaultColWidth="9.53125" defaultRowHeight="20.350000000000001" customHeight="1" x14ac:dyDescent="0.45"/>
  <cols>
    <col min="1" max="1" width="22.3984375" customWidth="1"/>
    <col min="2" max="2" width="13.19921875" bestFit="1" customWidth="1"/>
    <col min="5" max="5" width="16.265625" customWidth="1"/>
    <col min="6" max="6" width="9.53125" customWidth="1"/>
    <col min="9" max="9" width="16.33203125" customWidth="1"/>
    <col min="13" max="13" width="16.33203125" customWidth="1"/>
    <col min="18" max="18" width="9.46484375" customWidth="1"/>
    <col min="19" max="20" width="9.53125" customWidth="1"/>
    <col min="22" max="22" width="9.53125" customWidth="1"/>
    <col min="23" max="33" width="9.6640625" bestFit="1" customWidth="1"/>
    <col min="34" max="43" width="9.53125" customWidth="1"/>
    <col min="44" max="44" width="12.3984375" bestFit="1" customWidth="1"/>
    <col min="45" max="45" width="9.6640625" bestFit="1" customWidth="1"/>
    <col min="47" max="57" width="9.6640625" bestFit="1" customWidth="1"/>
    <col min="59" max="68" width="9.46484375" customWidth="1"/>
    <col min="69" max="69" width="9.6640625" bestFit="1" customWidth="1"/>
    <col min="71" max="71" width="9.53125" customWidth="1"/>
    <col min="72" max="81" width="9.6640625" bestFit="1" customWidth="1"/>
    <col min="83" max="92" width="9.46484375" customWidth="1"/>
    <col min="93" max="93" width="9.6640625" bestFit="1" customWidth="1"/>
    <col min="95" max="95" width="9.53125" customWidth="1"/>
    <col min="96" max="105" width="9.6640625" bestFit="1" customWidth="1"/>
    <col min="107" max="107" width="9.53125" customWidth="1"/>
    <col min="108" max="108" width="11.33203125" bestFit="1" customWidth="1"/>
    <col min="109" max="113" width="12.33203125" bestFit="1" customWidth="1"/>
    <col min="114" max="114" width="11.33203125" bestFit="1" customWidth="1"/>
    <col min="115" max="115" width="12.33203125" bestFit="1" customWidth="1"/>
    <col min="116" max="116" width="11.73046875" bestFit="1" customWidth="1"/>
    <col min="117" max="117" width="9.6640625" bestFit="1" customWidth="1"/>
    <col min="119" max="129" width="9.6640625" bestFit="1" customWidth="1"/>
    <col min="131" max="131" width="9.46484375" customWidth="1"/>
    <col min="132" max="141" width="9.6640625" bestFit="1" customWidth="1"/>
    <col min="143" max="153" width="9.6640625" bestFit="1" customWidth="1"/>
    <col min="155" max="155" width="9.46484375" customWidth="1"/>
    <col min="156" max="156" width="12.3984375" bestFit="1" customWidth="1"/>
    <col min="157" max="157" width="11.796875" bestFit="1" customWidth="1"/>
    <col min="158" max="158" width="9.6640625" bestFit="1" customWidth="1"/>
    <col min="159" max="159" width="11.796875" bestFit="1" customWidth="1"/>
    <col min="160" max="162" width="12.3984375" bestFit="1" customWidth="1"/>
    <col min="163" max="164" width="11.796875" bestFit="1" customWidth="1"/>
    <col min="165" max="165" width="9.6640625" bestFit="1" customWidth="1"/>
    <col min="167" max="177" width="9.6640625" bestFit="1" customWidth="1"/>
    <col min="179" max="179" width="9.53125" customWidth="1"/>
    <col min="180" max="180" width="12.33203125" bestFit="1" customWidth="1"/>
    <col min="181" max="181" width="10.33203125" bestFit="1" customWidth="1"/>
    <col min="182" max="183" width="12.33203125" bestFit="1" customWidth="1"/>
    <col min="184" max="184" width="11.33203125" bestFit="1" customWidth="1"/>
    <col min="185" max="188" width="12.33203125" bestFit="1" customWidth="1"/>
    <col min="189" max="189" width="9.6640625" bestFit="1" customWidth="1"/>
    <col min="191" max="201" width="9.6640625" bestFit="1" customWidth="1"/>
    <col min="203" max="203" width="9.46484375" customWidth="1"/>
    <col min="204" max="213" width="9.6640625" bestFit="1" customWidth="1"/>
    <col min="215" max="225" width="9.59765625" bestFit="1" customWidth="1"/>
    <col min="227" max="227" width="9.53125" customWidth="1"/>
    <col min="228" max="237" width="9.59765625" bestFit="1" customWidth="1"/>
  </cols>
  <sheetData>
    <row r="1" spans="1:44" ht="46.9" x14ac:dyDescent="0.45">
      <c r="A1" s="41" t="s">
        <v>92</v>
      </c>
    </row>
    <row r="2" spans="1:44" ht="20.350000000000001" customHeight="1" thickBot="1" x14ac:dyDescent="0.5">
      <c r="R2" s="90" t="s">
        <v>111</v>
      </c>
    </row>
    <row r="3" spans="1:44" ht="20.350000000000001" customHeight="1" thickTop="1" thickBot="1" x14ac:dyDescent="0.5">
      <c r="A3" s="42" t="s">
        <v>27</v>
      </c>
      <c r="B3" s="14" t="s">
        <v>111</v>
      </c>
      <c r="R3" s="90" t="s">
        <v>112</v>
      </c>
    </row>
    <row r="4" spans="1:44" ht="20.350000000000001" customHeight="1" thickTop="1" thickBot="1" x14ac:dyDescent="0.5">
      <c r="R4" s="90" t="s">
        <v>65</v>
      </c>
    </row>
    <row r="5" spans="1:44" ht="20.350000000000001" customHeight="1" thickTop="1" thickBot="1" x14ac:dyDescent="0.5">
      <c r="A5" s="42" t="s">
        <v>0</v>
      </c>
      <c r="E5" s="57"/>
      <c r="F5" s="58"/>
      <c r="G5" s="58"/>
      <c r="H5" s="58"/>
      <c r="I5" s="58"/>
      <c r="J5" s="58"/>
      <c r="K5" s="58"/>
      <c r="L5" s="58"/>
      <c r="M5" s="58"/>
      <c r="N5" s="59"/>
      <c r="R5" s="90" t="s">
        <v>66</v>
      </c>
    </row>
    <row r="6" spans="1:44" ht="20.350000000000001" customHeight="1" thickTop="1" thickBot="1" x14ac:dyDescent="0.5">
      <c r="A6" s="14" t="s">
        <v>4</v>
      </c>
      <c r="B6" s="14" t="s">
        <v>5</v>
      </c>
      <c r="C6" s="14">
        <v>0.2</v>
      </c>
      <c r="E6" s="60"/>
      <c r="F6" s="52"/>
      <c r="G6" s="52"/>
      <c r="H6" s="52"/>
      <c r="I6" s="52"/>
      <c r="J6" s="52"/>
      <c r="K6" s="52"/>
      <c r="L6" s="52"/>
      <c r="M6" s="52"/>
      <c r="N6" s="61"/>
      <c r="R6" s="90" t="s">
        <v>28</v>
      </c>
    </row>
    <row r="7" spans="1:44" ht="20.350000000000001" customHeight="1" thickTop="1" thickBot="1" x14ac:dyDescent="0.5">
      <c r="A7" s="14" t="s">
        <v>2</v>
      </c>
      <c r="B7" s="49" t="s">
        <v>3</v>
      </c>
      <c r="C7" s="14">
        <v>0.05</v>
      </c>
      <c r="E7" s="60"/>
      <c r="F7" s="52"/>
      <c r="G7" s="52"/>
      <c r="H7" s="52"/>
      <c r="I7" s="52"/>
      <c r="J7" s="52"/>
      <c r="K7" s="52"/>
      <c r="L7" s="52"/>
      <c r="M7" s="52"/>
      <c r="N7" s="61"/>
      <c r="R7" s="90" t="s">
        <v>67</v>
      </c>
    </row>
    <row r="8" spans="1:44" ht="20.350000000000001" customHeight="1" thickTop="1" thickBot="1" x14ac:dyDescent="0.5">
      <c r="A8" s="14" t="s">
        <v>6</v>
      </c>
      <c r="B8" s="14" t="s">
        <v>7</v>
      </c>
      <c r="C8" s="14">
        <v>1</v>
      </c>
      <c r="E8" s="60"/>
      <c r="F8" s="52"/>
      <c r="G8" s="52"/>
      <c r="H8" s="52"/>
      <c r="I8" s="52"/>
      <c r="J8" s="52"/>
      <c r="K8" s="52"/>
      <c r="L8" s="52"/>
      <c r="M8" s="52"/>
      <c r="N8" s="61"/>
      <c r="R8" s="90" t="s">
        <v>68</v>
      </c>
    </row>
    <row r="9" spans="1:44" ht="20.350000000000001" customHeight="1" thickTop="1" thickBot="1" x14ac:dyDescent="0.5">
      <c r="A9" s="14" t="str">
        <f>IF(OR(B3="Double-Digital",
       B3="Bull Spread",
       B3="Bear Spread",
       B3="Strangle",
       B3="Butterfly"),
    "Strike inf",
    "Strike")</f>
        <v>Strike</v>
      </c>
      <c r="B9" s="14" t="str">
        <f>IF(OR(B3="Double-Digital",
       B3="Bull Spread",
       B3="Bear Spread",
       B3="Strangle",
       B3="Butterfly"), "K"&amp;_xlfn.UNICHAR(8321), "K")</f>
        <v>K</v>
      </c>
      <c r="C9" s="14">
        <v>100</v>
      </c>
      <c r="E9" s="62"/>
      <c r="F9" s="63"/>
      <c r="G9" s="63"/>
      <c r="H9" s="63"/>
      <c r="I9" s="63"/>
      <c r="J9" s="63"/>
      <c r="K9" s="63"/>
      <c r="L9" s="63"/>
      <c r="M9" s="63"/>
      <c r="N9" s="64"/>
      <c r="R9" s="90" t="s">
        <v>69</v>
      </c>
    </row>
    <row r="10" spans="1:44" ht="20.350000000000001" hidden="1" customHeight="1" thickTop="1" thickBot="1" x14ac:dyDescent="0.5">
      <c r="A10" s="14" t="s">
        <v>26</v>
      </c>
      <c r="B10" s="14" t="s">
        <v>29</v>
      </c>
      <c r="C10" s="14">
        <v>130</v>
      </c>
      <c r="R10" s="90" t="s">
        <v>70</v>
      </c>
    </row>
    <row r="11" spans="1:44" ht="20.350000000000001" customHeight="1" thickTop="1" thickBot="1" x14ac:dyDescent="0.5"/>
    <row r="12" spans="1:44" ht="20.350000000000001" customHeight="1" thickTop="1" thickBot="1" x14ac:dyDescent="0.5">
      <c r="A12" s="50" t="s">
        <v>109</v>
      </c>
      <c r="E12" s="42" t="s">
        <v>104</v>
      </c>
      <c r="F12" s="1"/>
      <c r="G12" s="1"/>
    </row>
    <row r="13" spans="1:44" ht="20.350000000000001" customHeight="1" thickTop="1" thickBot="1" x14ac:dyDescent="0.5">
      <c r="A13" s="14" t="s">
        <v>93</v>
      </c>
      <c r="B13" s="14" t="s">
        <v>97</v>
      </c>
      <c r="C13" s="14">
        <v>0</v>
      </c>
      <c r="E13" s="14" t="s">
        <v>102</v>
      </c>
      <c r="F13" s="14" t="s">
        <v>106</v>
      </c>
      <c r="G13" s="14">
        <v>0</v>
      </c>
      <c r="R13" s="32" t="s">
        <v>113</v>
      </c>
      <c r="AH13" s="32" t="s">
        <v>114</v>
      </c>
    </row>
    <row r="14" spans="1:44" ht="20.350000000000001" customHeight="1" thickTop="1" thickBot="1" x14ac:dyDescent="0.5">
      <c r="A14" s="14" t="s">
        <v>94</v>
      </c>
      <c r="B14" s="14" t="s">
        <v>98</v>
      </c>
      <c r="C14" s="14">
        <v>200</v>
      </c>
      <c r="E14" s="14" t="s">
        <v>101</v>
      </c>
      <c r="F14" s="14" t="s">
        <v>105</v>
      </c>
      <c r="G14" s="14">
        <v>100</v>
      </c>
      <c r="Q14" s="32"/>
      <c r="R14" s="32">
        <v>0</v>
      </c>
      <c r="S14" s="32">
        <f>0.1*$C$8</f>
        <v>0.1</v>
      </c>
      <c r="T14" s="32">
        <f>0.2*$C$8</f>
        <v>0.2</v>
      </c>
      <c r="U14" s="32">
        <f>0.3*$C$8</f>
        <v>0.3</v>
      </c>
      <c r="V14" s="32">
        <f>0.4*$C$8</f>
        <v>0.4</v>
      </c>
      <c r="W14" s="32">
        <f>0.5*$C$8</f>
        <v>0.5</v>
      </c>
      <c r="X14" s="32">
        <f>0.6*$C$8</f>
        <v>0.6</v>
      </c>
      <c r="Y14" s="32">
        <f>0.7*$C$8</f>
        <v>0.7</v>
      </c>
      <c r="Z14" s="32">
        <f>0.8*$C$8</f>
        <v>0.8</v>
      </c>
      <c r="AA14" s="32">
        <f>0.9*$C$8</f>
        <v>0.9</v>
      </c>
      <c r="AB14" s="32">
        <f>$C$8</f>
        <v>1</v>
      </c>
      <c r="AG14" s="32"/>
      <c r="AH14" s="32">
        <v>0</v>
      </c>
      <c r="AI14" s="32">
        <f>0.1*$C$8</f>
        <v>0.1</v>
      </c>
      <c r="AJ14" s="32">
        <f>0.2*$C$8</f>
        <v>0.2</v>
      </c>
      <c r="AK14" s="32">
        <f>0.3*$C$8</f>
        <v>0.3</v>
      </c>
      <c r="AL14" s="32">
        <f>0.4*$C$8</f>
        <v>0.4</v>
      </c>
      <c r="AM14" s="32">
        <f>0.5*$C$8</f>
        <v>0.5</v>
      </c>
      <c r="AN14" s="32">
        <f>0.6*$C$8</f>
        <v>0.6</v>
      </c>
      <c r="AO14" s="32">
        <f>0.7*$C$8</f>
        <v>0.7</v>
      </c>
      <c r="AP14" s="32">
        <f>0.8*$C$8</f>
        <v>0.8</v>
      </c>
      <c r="AQ14" s="32">
        <f>0.9*$C$8</f>
        <v>0.9</v>
      </c>
      <c r="AR14" s="32">
        <f>$C$8</f>
        <v>1</v>
      </c>
    </row>
    <row r="15" spans="1:44" ht="20.350000000000001" customHeight="1" thickTop="1" thickBot="1" x14ac:dyDescent="0.5">
      <c r="A15" s="14" t="s">
        <v>95</v>
      </c>
      <c r="B15" s="14" t="s">
        <v>99</v>
      </c>
      <c r="C15" s="14">
        <v>100</v>
      </c>
      <c r="E15" s="1"/>
      <c r="F15" s="1"/>
      <c r="G15" s="1"/>
      <c r="Q15" s="32">
        <f>AD15*$C$14+AE15*$C$13</f>
        <v>0</v>
      </c>
      <c r="R15" s="32" cm="1">
        <f t="array" ref="R15:AB25">GridPriceCallEuBS(C6,C8,C7,C9,C13,C14,C15,C16)</f>
        <v>0</v>
      </c>
      <c r="S15" s="32">
        <v>0</v>
      </c>
      <c r="T15" s="32">
        <v>0</v>
      </c>
      <c r="U15" s="32">
        <v>0</v>
      </c>
      <c r="V15" s="32">
        <v>0</v>
      </c>
      <c r="W15" s="32">
        <v>0</v>
      </c>
      <c r="X15" s="32">
        <v>0</v>
      </c>
      <c r="Y15" s="32">
        <v>0</v>
      </c>
      <c r="Z15" s="32">
        <v>0</v>
      </c>
      <c r="AA15" s="32">
        <v>0</v>
      </c>
      <c r="AB15" s="32">
        <v>0</v>
      </c>
      <c r="AD15" s="32">
        <v>0</v>
      </c>
      <c r="AE15" s="32">
        <v>1</v>
      </c>
      <c r="AG15" s="32">
        <f>AD15*$C$14+AE15*$C$13</f>
        <v>0</v>
      </c>
      <c r="AH15" s="32" cm="1">
        <f t="array" ref="AH15:AR25">GridDeltaCallEuBS(C6,C8,C7,C9,C13,C14,C15,C16)</f>
        <v>8.1196026942394863E-42</v>
      </c>
      <c r="AI15" s="32">
        <v>3.9311752106239236E-44</v>
      </c>
      <c r="AJ15" s="32">
        <v>9.0244300794019565E-47</v>
      </c>
      <c r="AK15" s="32">
        <v>8.2729615485690431E-50</v>
      </c>
      <c r="AL15" s="32">
        <v>2.4164695429502761E-53</v>
      </c>
      <c r="AM15" s="32">
        <v>1.6614844291029246E-57</v>
      </c>
      <c r="AN15" s="32">
        <v>1.769455926071312E-62</v>
      </c>
      <c r="AO15" s="32">
        <v>1.58402525832429E-68</v>
      </c>
      <c r="AP15" s="32">
        <v>4.4187144825113715E-76</v>
      </c>
      <c r="AQ15" s="32">
        <v>5.1140175468539504E-86</v>
      </c>
      <c r="AR15" s="32">
        <v>0</v>
      </c>
    </row>
    <row r="16" spans="1:44" ht="20.350000000000001" customHeight="1" thickTop="1" thickBot="1" x14ac:dyDescent="0.5">
      <c r="A16" s="14" t="s">
        <v>96</v>
      </c>
      <c r="B16" s="14" t="s">
        <v>100</v>
      </c>
      <c r="C16" s="14">
        <v>200</v>
      </c>
      <c r="E16" s="51" t="s">
        <v>38</v>
      </c>
      <c r="F16" s="14" t="s">
        <v>110</v>
      </c>
      <c r="G16" s="29" cm="1">
        <f t="array" ref="G16">_xlfn.SWITCH(
  $B$3,
  "Vanilla Call",    PriceCallEuBS(G13, G14, $C$6, $C$8, $C$7, $C$9, $C$13, $C$14, $C$15, $C$16),
  "Vanilla Put",     PricePutEuBS(G13, G14, $C$6, $C$8, $C$7, $C$9, $C$13, $C$14, $C$15, $C$16),
  "Digital Call",    PriceCallDigitBS(G13, G14, $C$6, $C$8, $C$7, $C$9, $C$13, $C$14, $C$15, $C$16),
  "Digital Put",     PricePutDigitBS(G13, G14, $C$6, $C$8, $C$7, $C$9, $C$13, $C$14, $C$15, $C$16),
  "Double-Digital",  DDPriceBS(G13, G14, $C$6, $C$8, $C$7, $C$9,C10, $C$13, $C$14, $C$15, $C$16),
  "Bull Spread",     BullPriceBS(G13, G14, $C$6, $C$8, $C$7, $C$9,C10, $C$13, $C$14, $C$15, $C$16),
  "Bear Spread",     BearPriceBS(G13, G14, $C$6, $C$8, $C$7, $C$9, C10,$C$13, $C$14, $C$15, $C$16),
  "Strangle",        StranglePriceBS(G13, G14, $C$6, $C$8, $C$7, $C$9, C10,$C$13, $C$14, $C$15, $C$16),
  "Butterfly",       ButterflyPriceBS(G13, G14, $C$6, $C$8, $C$7, $C$9, C10,$C$13, $C$14, $C$15, $C$16))</f>
        <v>10.447097532344079</v>
      </c>
      <c r="I16" s="51" t="s">
        <v>39</v>
      </c>
      <c r="J16" s="49" t="s">
        <v>107</v>
      </c>
      <c r="K16" s="29" cm="1">
        <f t="array" ref="K16">_xlfn.SWITCH(
  $B$3,
  "Vanilla Call",    DeltaCallEuBS(G13, G14, $C$6, $C$8, $C$7, $C$9, $C$13, $C$14, $C$15, $C$16),
  "Vanilla Put",     DeltaPutEuBS(G13, G14, $C$6, $C$8, $C$7, $C$9, $C$13, $C$14, $C$15, $C$16),
  "Digital Call",    DeltaCallDigitBS(G13, G14, $C$6, $C$8, $C$7, $C$9, $C$13, $C$14, $C$15, $C$16),
  "Digital Put",     DeltaPutDigitBS(G13, G14, $C$6, $C$8, $C$7, $C$9, $C$13, $C$14, $C$15, $C$16),
  "Double-Digital",  DDDeltaBS(G13, G14, $C$6, $C$8, $C$7, $C$9,C10, $C$13, $C$14, $C$15, $C$16),
  "Bull Spread",     BullDeltaBS(G13, G14, $C$6, $C$8, $C$7, $C$9,C10, $C$13, $C$14, $C$15, $C$16),
  "Bear Spread",     BearDeltaBS(G13, G14, $C$6, $C$8, $C$7, $C$9, C10,$C$13, $C$14, $C$15, $C$16),
  "Strangle",        StrangleDeltaBS(G13, G14, $C$6, $C$8, $C$7, $C$9, C10,$C$13, $C$14, $C$15, $C$16),
  "Butterfly",       ButterflyDeltaBS(G13, G14, $C$6, $C$8, $C$7, $C$9, C10,$C$13, $C$14, $C$15, $C$16))</f>
        <v>0.63656021534162299</v>
      </c>
      <c r="M16" s="51" t="s">
        <v>103</v>
      </c>
      <c r="N16" s="14" t="s">
        <v>108</v>
      </c>
      <c r="O16" s="29">
        <f>G16-K16*G14</f>
        <v>-53.208924001818218</v>
      </c>
      <c r="Q16" s="32">
        <f t="shared" ref="Q16:Q25" si="0">AD16*$C$14+AE16*$C$13</f>
        <v>20</v>
      </c>
      <c r="R16" s="32">
        <v>3.9632224884657246E-14</v>
      </c>
      <c r="S16" s="32">
        <v>2.0267306461579961E-15</v>
      </c>
      <c r="T16" s="32">
        <v>5.9092887624329249E-17</v>
      </c>
      <c r="U16" s="32">
        <v>8.3362210744301532E-19</v>
      </c>
      <c r="V16" s="32">
        <v>4.5314152815213678E-21</v>
      </c>
      <c r="W16" s="32">
        <v>6.8909635635133841E-24</v>
      </c>
      <c r="X16" s="32">
        <v>1.8549138919393646E-27</v>
      </c>
      <c r="Y16" s="32">
        <v>4.5030777355361192E-32</v>
      </c>
      <c r="Z16" s="32">
        <v>3.3728006260756835E-38</v>
      </c>
      <c r="AA16" s="32">
        <v>9.5636283314322164E-47</v>
      </c>
      <c r="AB16" s="32">
        <v>0</v>
      </c>
      <c r="AD16" s="32">
        <v>0.1</v>
      </c>
      <c r="AE16" s="32">
        <v>0.9</v>
      </c>
      <c r="AG16" s="32">
        <f t="shared" ref="AG16:AG25" si="1">AD16*$C$14+AE16*$C$13</f>
        <v>20</v>
      </c>
      <c r="AH16" s="32">
        <v>9.396567662956328E-14</v>
      </c>
      <c r="AI16" s="32">
        <v>5.423381504267429E-15</v>
      </c>
      <c r="AJ16" s="32">
        <v>1.8071046572232707E-16</v>
      </c>
      <c r="AK16" s="32">
        <v>2.9537868895764174E-18</v>
      </c>
      <c r="AL16" s="32">
        <v>1.887782588754187E-20</v>
      </c>
      <c r="AM16" s="32">
        <v>3.4240537708893248E-23</v>
      </c>
      <c r="AN16" s="32">
        <v>1.1128591846963336E-26</v>
      </c>
      <c r="AO16" s="32">
        <v>3.2872011448139342E-31</v>
      </c>
      <c r="AP16" s="32">
        <v>2.9992175623496754E-37</v>
      </c>
      <c r="AQ16" s="32">
        <v>1.0299682233520096E-45</v>
      </c>
      <c r="AR16" s="32">
        <v>0</v>
      </c>
    </row>
    <row r="17" spans="17:213" ht="20.350000000000001" customHeight="1" thickTop="1" x14ac:dyDescent="0.45">
      <c r="Q17" s="32">
        <f t="shared" si="0"/>
        <v>40</v>
      </c>
      <c r="R17" s="32">
        <v>2.1785515425438907E-5</v>
      </c>
      <c r="S17" s="32">
        <v>6.1350652406571722E-6</v>
      </c>
      <c r="T17" s="32">
        <v>1.3035373641828142E-6</v>
      </c>
      <c r="U17" s="32">
        <v>1.8786973047061066E-7</v>
      </c>
      <c r="V17" s="32">
        <v>1.5575874835730549E-8</v>
      </c>
      <c r="W17" s="32">
        <v>5.701569320902183E-10</v>
      </c>
      <c r="X17" s="32">
        <v>5.9437026160363471E-12</v>
      </c>
      <c r="Y17" s="32">
        <v>8.4246125468418078E-15</v>
      </c>
      <c r="Z17" s="32">
        <v>4.6150735354519547E-19</v>
      </c>
      <c r="AA17" s="32">
        <v>9.230897894183057E-26</v>
      </c>
      <c r="AB17" s="32">
        <v>0</v>
      </c>
      <c r="AD17" s="32">
        <v>0.2</v>
      </c>
      <c r="AE17" s="32">
        <v>0.8</v>
      </c>
      <c r="AG17" s="32">
        <f t="shared" si="1"/>
        <v>40</v>
      </c>
      <c r="AH17" s="32">
        <v>1.3356793313676414E-5</v>
      </c>
      <c r="AI17" s="32">
        <v>4.1705001930909318E-6</v>
      </c>
      <c r="AJ17" s="32">
        <v>9.9519962247274235E-7</v>
      </c>
      <c r="AK17" s="32">
        <v>1.6369068991219293E-7</v>
      </c>
      <c r="AL17" s="32">
        <v>1.580346199136986E-8</v>
      </c>
      <c r="AM17" s="32">
        <v>6.9075822832554136E-10</v>
      </c>
      <c r="AN17" s="32">
        <v>8.8567853920245697E-12</v>
      </c>
      <c r="AO17" s="32">
        <v>1.5904905335328411E-14</v>
      </c>
      <c r="AP17" s="32">
        <v>1.1250675735359393E-18</v>
      </c>
      <c r="AQ17" s="32">
        <v>2.9006960738003751E-25</v>
      </c>
      <c r="AR17" s="32">
        <v>0</v>
      </c>
    </row>
    <row r="18" spans="17:213" ht="20.350000000000001" customHeight="1" x14ac:dyDescent="0.45">
      <c r="Q18" s="32">
        <f t="shared" si="0"/>
        <v>60</v>
      </c>
      <c r="R18" s="32">
        <v>5.477574696098525E-2</v>
      </c>
      <c r="S18" s="32">
        <v>3.3239392134870628E-2</v>
      </c>
      <c r="T18" s="32">
        <v>1.8126585552587119E-2</v>
      </c>
      <c r="U18" s="32">
        <v>8.5152740585998782E-3</v>
      </c>
      <c r="V18" s="32">
        <v>3.2169599529259943E-3</v>
      </c>
      <c r="W18" s="32">
        <v>8.6722294646180711E-4</v>
      </c>
      <c r="X18" s="32">
        <v>1.3296376706785191E-4</v>
      </c>
      <c r="Y18" s="32">
        <v>7.178725663974309E-6</v>
      </c>
      <c r="Z18" s="32">
        <v>4.4076848346601226E-8</v>
      </c>
      <c r="AA18" s="32">
        <v>1.9080861061386584E-12</v>
      </c>
      <c r="AB18" s="32">
        <v>0</v>
      </c>
      <c r="AD18" s="32">
        <v>0.3</v>
      </c>
      <c r="AE18" s="32">
        <v>0.7</v>
      </c>
      <c r="AG18" s="32">
        <f t="shared" si="1"/>
        <v>60</v>
      </c>
      <c r="AH18" s="32">
        <v>1.3864466164677278E-2</v>
      </c>
      <c r="AI18" s="32">
        <v>9.2305327802460844E-3</v>
      </c>
      <c r="AJ18" s="32">
        <v>5.5888963826451156E-3</v>
      </c>
      <c r="AK18" s="32">
        <v>2.9596985802664787E-3</v>
      </c>
      <c r="AL18" s="32">
        <v>1.2859125585849987E-3</v>
      </c>
      <c r="AM18" s="32">
        <v>4.0967947163260122E-4</v>
      </c>
      <c r="AN18" s="32">
        <v>7.7159006825728714E-5</v>
      </c>
      <c r="AO18" s="32">
        <v>5.4131407682552724E-6</v>
      </c>
      <c r="AP18" s="32">
        <v>4.6494109868634939E-8</v>
      </c>
      <c r="AQ18" s="32">
        <v>2.9537234058073661E-12</v>
      </c>
      <c r="AR18" s="32">
        <v>0</v>
      </c>
    </row>
    <row r="19" spans="17:213" ht="20.350000000000001" customHeight="1" x14ac:dyDescent="0.45">
      <c r="Q19" s="32">
        <f t="shared" si="0"/>
        <v>80</v>
      </c>
      <c r="R19" s="32">
        <v>1.8585141065180819</v>
      </c>
      <c r="S19" s="32">
        <v>1.5458206542529864</v>
      </c>
      <c r="T19" s="32">
        <v>1.2446275979750065</v>
      </c>
      <c r="U19" s="32">
        <v>0.9587688901082505</v>
      </c>
      <c r="V19" s="32">
        <v>0.69349550973313134</v>
      </c>
      <c r="W19" s="32">
        <v>0.45606920892052499</v>
      </c>
      <c r="X19" s="32">
        <v>0.25648058937077572</v>
      </c>
      <c r="Y19" s="32">
        <v>0.10777172659037919</v>
      </c>
      <c r="Z19" s="32">
        <v>2.3247789852786589E-2</v>
      </c>
      <c r="AA19" s="32">
        <v>5.3217783093306812E-4</v>
      </c>
      <c r="AB19" s="32">
        <v>0</v>
      </c>
      <c r="AD19" s="32">
        <v>0.4</v>
      </c>
      <c r="AE19" s="32">
        <v>0.6</v>
      </c>
      <c r="AG19" s="32">
        <f t="shared" si="1"/>
        <v>80</v>
      </c>
      <c r="AH19" s="32">
        <v>0.2218863684303366</v>
      </c>
      <c r="AI19" s="32">
        <v>0.19930484828601358</v>
      </c>
      <c r="AJ19" s="32">
        <v>0.17505551742230929</v>
      </c>
      <c r="AK19" s="32">
        <v>0.14902631769500257</v>
      </c>
      <c r="AL19" s="32">
        <v>0.12119900683297347</v>
      </c>
      <c r="AM19" s="32">
        <v>9.1793889219864144E-2</v>
      </c>
      <c r="AN19" s="32">
        <v>6.1599393013998319E-2</v>
      </c>
      <c r="AO19" s="32">
        <v>3.2710558721264223E-2</v>
      </c>
      <c r="AP19" s="32">
        <v>9.9194185144045911E-3</v>
      </c>
      <c r="AQ19" s="32">
        <v>4.0161577147760177E-4</v>
      </c>
      <c r="AR19" s="32">
        <v>0</v>
      </c>
    </row>
    <row r="20" spans="17:213" ht="20.350000000000001" customHeight="1" x14ac:dyDescent="0.45">
      <c r="Q20" s="32">
        <f t="shared" si="0"/>
        <v>100</v>
      </c>
      <c r="R20" s="32">
        <v>10.447097532344079</v>
      </c>
      <c r="S20" s="32">
        <v>9.7951534496309147</v>
      </c>
      <c r="T20" s="32">
        <v>9.1183806379606889</v>
      </c>
      <c r="U20" s="32">
        <v>8.412382769126884</v>
      </c>
      <c r="V20" s="32">
        <v>7.6710041063512948</v>
      </c>
      <c r="W20" s="32">
        <v>6.8852850614244367</v>
      </c>
      <c r="X20" s="32">
        <v>6.0414039719933932</v>
      </c>
      <c r="Y20" s="32">
        <v>5.1160424898942756</v>
      </c>
      <c r="Z20" s="32">
        <v>4.0636665303747872</v>
      </c>
      <c r="AA20" s="32">
        <v>2.766171598374827</v>
      </c>
      <c r="AB20" s="32">
        <v>0</v>
      </c>
      <c r="AD20" s="32">
        <v>0.5</v>
      </c>
      <c r="AE20" s="32">
        <v>0.5</v>
      </c>
      <c r="AG20" s="32">
        <f t="shared" si="1"/>
        <v>100</v>
      </c>
      <c r="AH20" s="32">
        <v>0.63656021534162299</v>
      </c>
      <c r="AI20" s="32">
        <v>0.62991019460233222</v>
      </c>
      <c r="AJ20" s="32">
        <v>0.62277260001759149</v>
      </c>
      <c r="AK20" s="32">
        <v>0.61508803188371619</v>
      </c>
      <c r="AL20" s="32">
        <v>0.60676151842685933</v>
      </c>
      <c r="AM20" s="32">
        <v>0.59764289417241834</v>
      </c>
      <c r="AN20" s="32">
        <v>0.58749089908782848</v>
      </c>
      <c r="AO20" s="32">
        <v>0.5758932746702885</v>
      </c>
      <c r="AP20" s="32">
        <v>0.5620444452444886</v>
      </c>
      <c r="AQ20" s="32">
        <v>0.54387611138432335</v>
      </c>
      <c r="AR20" s="32">
        <v>0.5</v>
      </c>
    </row>
    <row r="21" spans="17:213" ht="20.350000000000001" customHeight="1" x14ac:dyDescent="0.45">
      <c r="Q21" s="32">
        <f t="shared" si="0"/>
        <v>120</v>
      </c>
      <c r="R21" s="32">
        <v>26.140017070653975</v>
      </c>
      <c r="S21" s="32">
        <v>25.524619794992233</v>
      </c>
      <c r="T21" s="32">
        <v>24.89585303950912</v>
      </c>
      <c r="U21" s="32">
        <v>24.255458894811262</v>
      </c>
      <c r="V21" s="32">
        <v>23.606012071261727</v>
      </c>
      <c r="W21" s="32">
        <v>22.9514753367453</v>
      </c>
      <c r="X21" s="32">
        <v>22.298323438850133</v>
      </c>
      <c r="Y21" s="32">
        <v>21.657815149625417</v>
      </c>
      <c r="Z21" s="32">
        <v>21.049863744946414</v>
      </c>
      <c r="AA21" s="32">
        <v>20.50198321642867</v>
      </c>
      <c r="AB21" s="32">
        <v>20</v>
      </c>
      <c r="AD21" s="32">
        <v>0.6</v>
      </c>
      <c r="AE21" s="32">
        <v>0.4</v>
      </c>
      <c r="AG21" s="32">
        <f t="shared" si="1"/>
        <v>120</v>
      </c>
      <c r="AH21" s="32">
        <v>0.89267536385040991</v>
      </c>
      <c r="AI21" s="32">
        <v>0.89966159889179131</v>
      </c>
      <c r="AJ21" s="32">
        <v>0.90732574299822133</v>
      </c>
      <c r="AK21" s="32">
        <v>0.91596274298560232</v>
      </c>
      <c r="AL21" s="32">
        <v>0.92595061378490584</v>
      </c>
      <c r="AM21" s="32">
        <v>0.9377416308888602</v>
      </c>
      <c r="AN21" s="32">
        <v>0.95178737856461026</v>
      </c>
      <c r="AO21" s="32">
        <v>0.96823991605468862</v>
      </c>
      <c r="AP21" s="32">
        <v>0.98585261629763465</v>
      </c>
      <c r="AQ21" s="32">
        <v>0.99854638622105796</v>
      </c>
      <c r="AR21" s="32">
        <v>1</v>
      </c>
    </row>
    <row r="22" spans="17:213" ht="20.350000000000001" customHeight="1" x14ac:dyDescent="0.45">
      <c r="Q22" s="32">
        <f t="shared" si="0"/>
        <v>140</v>
      </c>
      <c r="R22" s="32">
        <v>44.842827217998476</v>
      </c>
      <c r="S22" s="32">
        <v>44.396283585131258</v>
      </c>
      <c r="T22" s="32">
        <v>43.934735204229838</v>
      </c>
      <c r="U22" s="32">
        <v>43.460074433344204</v>
      </c>
      <c r="V22" s="32">
        <v>42.974906440794307</v>
      </c>
      <c r="W22" s="32">
        <v>42.482543351539199</v>
      </c>
      <c r="X22" s="32">
        <v>41.986698845332569</v>
      </c>
      <c r="Y22" s="32">
        <v>41.490559446155018</v>
      </c>
      <c r="Z22" s="32">
        <v>40.995142800355097</v>
      </c>
      <c r="AA22" s="32">
        <v>40.498752280409079</v>
      </c>
      <c r="AB22" s="32">
        <v>40</v>
      </c>
      <c r="AD22" s="32">
        <v>0.7</v>
      </c>
      <c r="AE22" s="32">
        <v>0.3</v>
      </c>
      <c r="AG22" s="32">
        <f t="shared" si="1"/>
        <v>140</v>
      </c>
      <c r="AH22" s="32">
        <v>0.95375804843000367</v>
      </c>
      <c r="AI22" s="32">
        <v>0.96352054338489523</v>
      </c>
      <c r="AJ22" s="32">
        <v>0.9725930896841426</v>
      </c>
      <c r="AK22" s="32">
        <v>0.98076017188935083</v>
      </c>
      <c r="AL22" s="32">
        <v>0.98776570850372636</v>
      </c>
      <c r="AM22" s="32">
        <v>0.99332815773280814</v>
      </c>
      <c r="AN22" s="32">
        <v>0.9971953651563048</v>
      </c>
      <c r="AO22" s="32">
        <v>0.99928585961529137</v>
      </c>
      <c r="AP22" s="32">
        <v>0.999944119105038</v>
      </c>
      <c r="AQ22" s="32">
        <v>0.99999988954247954</v>
      </c>
      <c r="AR22" s="32">
        <v>1</v>
      </c>
    </row>
    <row r="23" spans="17:213" ht="20.350000000000001" customHeight="1" x14ac:dyDescent="0.45">
      <c r="Q23" s="32">
        <f t="shared" si="0"/>
        <v>160</v>
      </c>
      <c r="R23" s="32">
        <v>63.594934898796701</v>
      </c>
      <c r="S23" s="32">
        <v>63.388437485694212</v>
      </c>
      <c r="T23" s="32">
        <v>63.154487610064706</v>
      </c>
      <c r="U23" s="32">
        <v>62.88991110632827</v>
      </c>
      <c r="V23" s="32">
        <v>62.591076542364654</v>
      </c>
      <c r="W23" s="32">
        <v>62.254054812925673</v>
      </c>
      <c r="X23" s="32">
        <v>61.875178397244476</v>
      </c>
      <c r="Y23" s="32">
        <v>61.452518773461499</v>
      </c>
      <c r="Z23" s="32">
        <v>60.989208722524467</v>
      </c>
      <c r="AA23" s="32">
        <v>60.498676846031962</v>
      </c>
      <c r="AB23" s="32">
        <v>60</v>
      </c>
      <c r="AD23" s="32">
        <v>0.8</v>
      </c>
      <c r="AE23" s="32">
        <v>0.2</v>
      </c>
      <c r="AG23" s="32">
        <f t="shared" si="1"/>
        <v>160</v>
      </c>
      <c r="AH23" s="32">
        <v>0.90791001153059625</v>
      </c>
      <c r="AI23" s="32">
        <v>0.92247594473009897</v>
      </c>
      <c r="AJ23" s="32">
        <v>0.93678969949428392</v>
      </c>
      <c r="AK23" s="32">
        <v>0.9506452306978197</v>
      </c>
      <c r="AL23" s="32">
        <v>0.96376151966183699</v>
      </c>
      <c r="AM23" s="32">
        <v>0.97575193988222253</v>
      </c>
      <c r="AN23" s="32">
        <v>0.98607913555086668</v>
      </c>
      <c r="AO23" s="32">
        <v>0.99400630645887489</v>
      </c>
      <c r="AP23" s="32">
        <v>0.99867678964376694</v>
      </c>
      <c r="AQ23" s="32">
        <v>0.99997109520292327</v>
      </c>
      <c r="AR23" s="32">
        <v>1</v>
      </c>
    </row>
    <row r="24" spans="17:213" ht="20.350000000000001" customHeight="1" x14ac:dyDescent="0.45">
      <c r="Q24" s="32">
        <f t="shared" si="0"/>
        <v>180</v>
      </c>
      <c r="R24" s="32">
        <v>80.711969629713508</v>
      </c>
      <c r="S24" s="32">
        <v>80.838318788861415</v>
      </c>
      <c r="T24" s="32">
        <v>80.944378037174118</v>
      </c>
      <c r="U24" s="32">
        <v>81.025989956317645</v>
      </c>
      <c r="V24" s="32">
        <v>81.077700956993908</v>
      </c>
      <c r="W24" s="32">
        <v>81.092150291662335</v>
      </c>
      <c r="X24" s="32">
        <v>81.058986332693934</v>
      </c>
      <c r="Y24" s="32">
        <v>80.962802248356383</v>
      </c>
      <c r="Z24" s="32">
        <v>80.779016166133204</v>
      </c>
      <c r="AA24" s="32">
        <v>80.466743961242656</v>
      </c>
      <c r="AB24" s="32">
        <v>80</v>
      </c>
      <c r="AD24" s="32">
        <v>0.9</v>
      </c>
      <c r="AE24" s="32">
        <v>0.1</v>
      </c>
      <c r="AG24" s="32">
        <f t="shared" si="1"/>
        <v>180</v>
      </c>
      <c r="AH24" s="32">
        <v>0.79469959438323912</v>
      </c>
      <c r="AI24" s="32">
        <v>0.81267999012660397</v>
      </c>
      <c r="AJ24" s="32">
        <v>0.83156842416853038</v>
      </c>
      <c r="AK24" s="32">
        <v>0.8514814223736451</v>
      </c>
      <c r="AL24" s="32">
        <v>0.87255140668129627</v>
      </c>
      <c r="AM24" s="32">
        <v>0.89491519655200591</v>
      </c>
      <c r="AN24" s="32">
        <v>0.91867483827623175</v>
      </c>
      <c r="AO24" s="32">
        <v>0.94377191605130406</v>
      </c>
      <c r="AP24" s="32">
        <v>0.96953213465082655</v>
      </c>
      <c r="AQ24" s="32">
        <v>0.99257900341465444</v>
      </c>
      <c r="AR24" s="32">
        <v>1</v>
      </c>
    </row>
    <row r="25" spans="17:213" ht="20.350000000000001" customHeight="1" x14ac:dyDescent="0.45">
      <c r="Q25" s="32">
        <f t="shared" si="0"/>
        <v>200</v>
      </c>
      <c r="R25" s="32">
        <v>95.122942450071406</v>
      </c>
      <c r="S25" s="32">
        <v>95.599748183309984</v>
      </c>
      <c r="T25" s="32">
        <v>96.078943915232315</v>
      </c>
      <c r="U25" s="32">
        <v>96.560541625756642</v>
      </c>
      <c r="V25" s="32">
        <v>97.044553354850819</v>
      </c>
      <c r="W25" s="32">
        <v>97.530991202833263</v>
      </c>
      <c r="X25" s="32">
        <v>98.019867330675524</v>
      </c>
      <c r="Y25" s="32">
        <v>98.511193960306258</v>
      </c>
      <c r="Z25" s="32">
        <v>99.004983374916804</v>
      </c>
      <c r="AA25" s="32">
        <v>99.501247919268238</v>
      </c>
      <c r="AB25" s="32">
        <v>100</v>
      </c>
      <c r="AD25" s="32">
        <v>1</v>
      </c>
      <c r="AE25" s="32">
        <v>0</v>
      </c>
      <c r="AG25" s="32">
        <f t="shared" si="1"/>
        <v>200</v>
      </c>
      <c r="AH25" s="32">
        <v>0.64661989415074572</v>
      </c>
      <c r="AI25" s="32">
        <v>0.66294115920143781</v>
      </c>
      <c r="AJ25" s="32">
        <v>0.68043522765404418</v>
      </c>
      <c r="AK25" s="32">
        <v>0.69934229414396043</v>
      </c>
      <c r="AL25" s="32">
        <v>0.71998845332649353</v>
      </c>
      <c r="AM25" s="32">
        <v>0.74283726280117435</v>
      </c>
      <c r="AN25" s="32">
        <v>0.76859332325545893</v>
      </c>
      <c r="AO25" s="32">
        <v>0.79843739251302281</v>
      </c>
      <c r="AP25" s="32">
        <v>0.83467420172532059</v>
      </c>
      <c r="AQ25" s="32">
        <v>0.8833237084973149</v>
      </c>
      <c r="AR25" s="32">
        <v>1</v>
      </c>
    </row>
    <row r="26" spans="17:213" ht="20.350000000000001" customHeight="1" x14ac:dyDescent="0.45">
      <c r="W26" s="32" t="s">
        <v>115</v>
      </c>
      <c r="X26" s="32"/>
      <c r="Y26" s="32"/>
      <c r="Z26" s="32"/>
      <c r="AA26" s="32"/>
      <c r="AB26" s="32"/>
      <c r="AC26" s="32"/>
      <c r="AD26" s="32"/>
      <c r="AE26" s="32"/>
      <c r="AF26" s="32"/>
      <c r="AG26" s="32"/>
      <c r="AH26" s="32"/>
      <c r="AI26" s="32" t="s">
        <v>116</v>
      </c>
      <c r="AJ26" s="32"/>
      <c r="AK26" s="32"/>
      <c r="AL26" s="32"/>
      <c r="AM26" s="32"/>
      <c r="AN26" s="32"/>
      <c r="AO26" s="32"/>
      <c r="AP26" s="32"/>
      <c r="AQ26" s="32"/>
      <c r="AR26" s="32"/>
      <c r="AS26" s="32"/>
      <c r="AT26" s="32"/>
      <c r="AU26" s="32" t="s">
        <v>117</v>
      </c>
      <c r="AV26" s="32"/>
      <c r="AW26" s="32"/>
      <c r="AX26" s="32"/>
      <c r="AY26" s="32"/>
      <c r="AZ26" s="32"/>
      <c r="BA26" s="32"/>
      <c r="BB26" s="32"/>
      <c r="BC26" s="32"/>
      <c r="BD26" s="32"/>
      <c r="BE26" s="32"/>
      <c r="BF26" s="32"/>
      <c r="BG26" s="32" t="s">
        <v>118</v>
      </c>
      <c r="BH26" s="32"/>
      <c r="BI26" s="32"/>
      <c r="BJ26" s="32"/>
      <c r="BK26" s="32"/>
      <c r="BL26" s="32"/>
      <c r="BM26" s="32"/>
      <c r="BN26" s="32"/>
      <c r="BO26" s="32"/>
      <c r="BP26" s="32"/>
      <c r="BQ26" s="32"/>
      <c r="BR26" s="32"/>
      <c r="BS26" s="32" t="s">
        <v>119</v>
      </c>
      <c r="BT26" s="32"/>
      <c r="BU26" s="32"/>
      <c r="BV26" s="32"/>
      <c r="BW26" s="32"/>
      <c r="BX26" s="32"/>
      <c r="BY26" s="32"/>
      <c r="BZ26" s="32"/>
      <c r="CA26" s="32"/>
      <c r="CB26" s="32"/>
      <c r="CC26" s="32"/>
      <c r="CD26" s="32"/>
      <c r="CE26" s="32" t="s">
        <v>120</v>
      </c>
      <c r="CF26" s="32"/>
      <c r="CG26" s="32"/>
      <c r="CH26" s="32"/>
      <c r="CI26" s="32"/>
      <c r="CJ26" s="32"/>
      <c r="CK26" s="32"/>
      <c r="CL26" s="32"/>
      <c r="CM26" s="32"/>
      <c r="CN26" s="32"/>
      <c r="CO26" s="32"/>
      <c r="CP26" s="32"/>
      <c r="CQ26" s="32" t="s">
        <v>121</v>
      </c>
      <c r="CR26" s="32"/>
      <c r="CS26" s="32"/>
      <c r="CT26" s="32"/>
      <c r="CU26" s="32"/>
      <c r="CV26" s="32"/>
      <c r="CW26" s="32"/>
      <c r="CX26" s="32"/>
      <c r="CY26" s="32"/>
      <c r="CZ26" s="32"/>
      <c r="DA26" s="32"/>
      <c r="DB26" s="32"/>
      <c r="DC26" s="32" t="s">
        <v>122</v>
      </c>
      <c r="DD26" s="32"/>
      <c r="DE26" s="32"/>
      <c r="DF26" s="32"/>
      <c r="DG26" s="32"/>
      <c r="DH26" s="32"/>
      <c r="DI26" s="32"/>
      <c r="DJ26" s="32"/>
      <c r="DK26" s="32"/>
      <c r="DL26" s="32"/>
      <c r="DM26" s="32"/>
      <c r="DN26" s="32"/>
      <c r="DO26" s="32" t="s">
        <v>73</v>
      </c>
      <c r="DP26" s="32"/>
      <c r="DQ26" s="32"/>
      <c r="DR26" s="32"/>
      <c r="DS26" s="32"/>
      <c r="DT26" s="32"/>
      <c r="DU26" s="32"/>
      <c r="DV26" s="32"/>
      <c r="DW26" s="32"/>
      <c r="DX26" s="32"/>
      <c r="DY26" s="32"/>
      <c r="DZ26" s="32"/>
      <c r="EA26" s="32" t="s">
        <v>123</v>
      </c>
      <c r="EB26" s="32"/>
      <c r="EC26" s="32"/>
      <c r="ED26" s="32"/>
      <c r="EE26" s="32"/>
      <c r="EF26" s="32"/>
      <c r="EG26" s="32"/>
      <c r="EH26" s="32"/>
      <c r="EI26" s="32"/>
      <c r="EJ26" s="32"/>
      <c r="EK26" s="32"/>
      <c r="EL26" s="32"/>
      <c r="EM26" s="32" t="s">
        <v>74</v>
      </c>
      <c r="EN26" s="32"/>
      <c r="EO26" s="32"/>
      <c r="EP26" s="32"/>
      <c r="EQ26" s="32"/>
      <c r="ER26" s="32"/>
      <c r="ES26" s="32"/>
      <c r="ET26" s="32"/>
      <c r="EU26" s="32"/>
      <c r="EV26" s="32"/>
      <c r="EW26" s="32"/>
      <c r="EX26" s="32"/>
      <c r="EY26" s="32" t="s">
        <v>124</v>
      </c>
      <c r="EZ26" s="32"/>
      <c r="FA26" s="32"/>
      <c r="FB26" s="32"/>
      <c r="FC26" s="32"/>
      <c r="FD26" s="32"/>
      <c r="FE26" s="32"/>
      <c r="FF26" s="32"/>
      <c r="FG26" s="32"/>
      <c r="FH26" s="32"/>
      <c r="FI26" s="32"/>
      <c r="FJ26" s="32"/>
      <c r="FK26" s="32" t="s">
        <v>69</v>
      </c>
      <c r="FL26" s="32"/>
      <c r="FM26" s="32"/>
      <c r="FN26" s="32"/>
      <c r="FO26" s="32"/>
      <c r="FP26" s="32"/>
      <c r="FQ26" s="32"/>
      <c r="FR26" s="32"/>
      <c r="FS26" s="32"/>
      <c r="FT26" s="32"/>
      <c r="FU26" s="32"/>
      <c r="FV26" s="32"/>
      <c r="FW26" s="32" t="s">
        <v>125</v>
      </c>
      <c r="FX26" s="32"/>
      <c r="FY26" s="32"/>
      <c r="FZ26" s="32"/>
      <c r="GA26" s="32"/>
      <c r="GB26" s="32"/>
      <c r="GC26" s="32"/>
      <c r="GD26" s="32"/>
      <c r="GE26" s="32"/>
      <c r="GF26" s="32"/>
      <c r="GG26" s="32"/>
      <c r="GH26" s="32"/>
      <c r="GI26" s="32" t="s">
        <v>126</v>
      </c>
      <c r="GJ26" s="32"/>
      <c r="GK26" s="32"/>
      <c r="GL26" s="32"/>
      <c r="GM26" s="32"/>
      <c r="GN26" s="32"/>
      <c r="GO26" s="32"/>
      <c r="GP26" s="32"/>
      <c r="GQ26" s="32"/>
      <c r="GR26" s="32"/>
      <c r="GS26" s="32"/>
      <c r="GT26" s="32"/>
      <c r="GU26" s="32" t="s">
        <v>127</v>
      </c>
      <c r="GV26" s="32"/>
      <c r="GW26" s="32"/>
      <c r="GX26" s="32"/>
      <c r="GY26" s="32"/>
      <c r="GZ26" s="32"/>
      <c r="HA26" s="32"/>
      <c r="HB26" s="32"/>
      <c r="HC26" s="32"/>
      <c r="HD26" s="32"/>
      <c r="HE26" s="32"/>
    </row>
    <row r="27" spans="17:213" ht="20.350000000000001" customHeight="1" x14ac:dyDescent="0.45">
      <c r="W27" s="32" cm="1">
        <f t="array" ref="W27:AG37">GridPricePutEuBS(C6,C8,C7,C9,C13,C14,C15,C16)</f>
        <v>95.122942450071406</v>
      </c>
      <c r="X27" s="32">
        <v>95.599748183309984</v>
      </c>
      <c r="Y27" s="32">
        <v>96.078943915232315</v>
      </c>
      <c r="Z27" s="32">
        <v>96.560541625756642</v>
      </c>
      <c r="AA27" s="32">
        <v>97.044553354850819</v>
      </c>
      <c r="AB27" s="32">
        <v>97.530991202833263</v>
      </c>
      <c r="AC27" s="32">
        <v>98.019867330675524</v>
      </c>
      <c r="AD27" s="32">
        <v>98.511193960306258</v>
      </c>
      <c r="AE27" s="32">
        <v>99.004983374916804</v>
      </c>
      <c r="AF27" s="32">
        <v>99.501247919268238</v>
      </c>
      <c r="AG27" s="32">
        <v>100</v>
      </c>
      <c r="AH27" s="32"/>
      <c r="AI27" s="32" cm="1">
        <f t="array" ref="AI27:AS37">GridDeltaPutEuBS(C6,C8,C7,C9,C13,C14,C15,C16)</f>
        <v>-1</v>
      </c>
      <c r="AJ27" s="32">
        <v>-1</v>
      </c>
      <c r="AK27" s="32">
        <v>-1</v>
      </c>
      <c r="AL27" s="32">
        <v>-1</v>
      </c>
      <c r="AM27" s="32">
        <v>-1</v>
      </c>
      <c r="AN27" s="32">
        <v>-1</v>
      </c>
      <c r="AO27" s="32">
        <v>-1</v>
      </c>
      <c r="AP27" s="32">
        <v>-1</v>
      </c>
      <c r="AQ27" s="32">
        <v>-1</v>
      </c>
      <c r="AR27" s="32">
        <v>-1</v>
      </c>
      <c r="AS27" s="32">
        <v>-1</v>
      </c>
      <c r="AT27" s="32"/>
      <c r="AU27" s="32" cm="1">
        <f t="array" ref="AU27:BE37">GridPriceCallDigitBS(C6,C8,C7,C9,C13,C14,C15,C16)</f>
        <v>0</v>
      </c>
      <c r="AV27" s="32">
        <v>0</v>
      </c>
      <c r="AW27" s="32">
        <v>0</v>
      </c>
      <c r="AX27" s="32">
        <v>0</v>
      </c>
      <c r="AY27" s="32">
        <v>0</v>
      </c>
      <c r="AZ27" s="32">
        <v>0</v>
      </c>
      <c r="BA27" s="32">
        <v>0</v>
      </c>
      <c r="BB27" s="32">
        <v>0</v>
      </c>
      <c r="BC27" s="32">
        <v>0</v>
      </c>
      <c r="BD27" s="32">
        <v>0</v>
      </c>
      <c r="BE27" s="32">
        <v>0</v>
      </c>
      <c r="BF27" s="32"/>
      <c r="BG27" s="32" cm="1">
        <f t="array" ref="BG27:BQ37">GridDeltaCallDigitBS(C6,C8,C7,C9,C13,C14,C15,C16)</f>
        <v>3.0590834587951421E-42</v>
      </c>
      <c r="BH27" s="32">
        <v>1.5528247877299366E-44</v>
      </c>
      <c r="BI27" s="32">
        <v>3.743494581104352E-47</v>
      </c>
      <c r="BJ27" s="32">
        <v>3.6090102833995805E-50</v>
      </c>
      <c r="BK27" s="32">
        <v>1.1097269011878228E-53</v>
      </c>
      <c r="BL27" s="32">
        <v>8.0355470071716539E-58</v>
      </c>
      <c r="BM27" s="32">
        <v>9.008912554877456E-63</v>
      </c>
      <c r="BN27" s="32">
        <v>8.4787053620090457E-69</v>
      </c>
      <c r="BO27" s="32">
        <v>2.4808820805673053E-76</v>
      </c>
      <c r="BP27" s="32">
        <v>3.0024189163710019E-86</v>
      </c>
      <c r="BQ27" s="32">
        <v>0</v>
      </c>
      <c r="BR27" s="32"/>
      <c r="BS27" s="32" cm="1">
        <f t="array" ref="BS27:CC37">GridPricePutDigitBS(C6,C8,C7,C9,C13,C14,C15,C16)</f>
        <v>0.95122942450071402</v>
      </c>
      <c r="BT27" s="32">
        <v>0.95599748183309985</v>
      </c>
      <c r="BU27" s="32">
        <v>0.96078943915232318</v>
      </c>
      <c r="BV27" s="32">
        <v>0.96560541625756646</v>
      </c>
      <c r="BW27" s="32">
        <v>0.97044553354850815</v>
      </c>
      <c r="BX27" s="32">
        <v>0.97530991202833262</v>
      </c>
      <c r="BY27" s="32">
        <v>0.98019867330675525</v>
      </c>
      <c r="BZ27" s="32">
        <v>0.98511193960306265</v>
      </c>
      <c r="CA27" s="32">
        <v>0.99004983374916811</v>
      </c>
      <c r="CB27" s="32">
        <v>0.99501247919268232</v>
      </c>
      <c r="CC27" s="32">
        <v>1</v>
      </c>
      <c r="CD27" s="32"/>
      <c r="CE27" s="32" cm="1">
        <f t="array" ref="CE27:CO37">GridDeltaPutDigitBS(C6,C8,C7,C9,C13,C14,C15,C16)</f>
        <v>-9.9328933966802424E-10</v>
      </c>
      <c r="CF27" s="32">
        <v>-8.9822271842621149E-10</v>
      </c>
      <c r="CG27" s="32">
        <v>-8.0222628540127516E-10</v>
      </c>
      <c r="CH27" s="32">
        <v>-7.0529360129967245E-10</v>
      </c>
      <c r="CI27" s="32">
        <v>-6.0741800478325558E-10</v>
      </c>
      <c r="CJ27" s="32">
        <v>-5.0859361166999406E-10</v>
      </c>
      <c r="CK27" s="32">
        <v>-4.0881342755483274E-10</v>
      </c>
      <c r="CL27" s="32">
        <v>-3.0807079109962388E-10</v>
      </c>
      <c r="CM27" s="32">
        <v>-2.0635904096621971E-10</v>
      </c>
      <c r="CN27" s="32">
        <v>-1.0367073866035525E-10</v>
      </c>
      <c r="CO27" s="32">
        <v>0</v>
      </c>
      <c r="CP27" s="32"/>
      <c r="CQ27" s="32" cm="1">
        <f t="array" ref="CQ27:DA37">GridDDPriceBS(C6,C8,C7,C9,C10,C13,C14,C15,C16)</f>
        <v>0</v>
      </c>
      <c r="CR27" s="32">
        <v>0</v>
      </c>
      <c r="CS27" s="32">
        <v>0</v>
      </c>
      <c r="CT27" s="32">
        <v>0</v>
      </c>
      <c r="CU27" s="32">
        <v>0</v>
      </c>
      <c r="CV27" s="32">
        <v>0</v>
      </c>
      <c r="CW27" s="32">
        <v>0</v>
      </c>
      <c r="CX27" s="32">
        <v>0</v>
      </c>
      <c r="CY27" s="32">
        <v>0</v>
      </c>
      <c r="CZ27" s="32">
        <v>0</v>
      </c>
      <c r="DA27" s="32">
        <v>0</v>
      </c>
      <c r="DB27" s="32"/>
      <c r="DC27" s="32" cm="1">
        <f t="array" ref="DC27:DM37">GridDDDeltaBS(C6,C8,C7,C9,C10,C13,C14,C15,C16)</f>
        <v>3.0590738821058555E-42</v>
      </c>
      <c r="DD27" s="32">
        <v>1.552822551020216E-44</v>
      </c>
      <c r="DE27" s="32">
        <v>3.7434923109916894E-47</v>
      </c>
      <c r="DF27" s="32">
        <v>3.6090094473858668E-50</v>
      </c>
      <c r="DG27" s="32">
        <v>1.1097268126225834E-53</v>
      </c>
      <c r="DH27" s="32">
        <v>8.035546808226478E-58</v>
      </c>
      <c r="DI27" s="32">
        <v>9.0089124922846719E-63</v>
      </c>
      <c r="DJ27" s="32">
        <v>8.4787053468727731E-69</v>
      </c>
      <c r="DK27" s="32">
        <v>2.4808820795054153E-76</v>
      </c>
      <c r="DL27" s="32">
        <v>3.0024189160766369E-86</v>
      </c>
      <c r="DM27" s="32">
        <v>0</v>
      </c>
      <c r="DN27" s="32"/>
      <c r="DO27" s="32" cm="1">
        <f t="array" ref="DO27:DY37">GridBullPriceBS(C6,C8,C7,C9,C10,C13,C14,C15,C16)</f>
        <v>0</v>
      </c>
      <c r="DP27" s="32">
        <v>0</v>
      </c>
      <c r="DQ27" s="32">
        <v>0</v>
      </c>
      <c r="DR27" s="32">
        <v>0</v>
      </c>
      <c r="DS27" s="32">
        <v>0</v>
      </c>
      <c r="DT27" s="32">
        <v>0</v>
      </c>
      <c r="DU27" s="32">
        <v>0</v>
      </c>
      <c r="DV27" s="32">
        <v>0</v>
      </c>
      <c r="DW27" s="32">
        <v>0</v>
      </c>
      <c r="DX27" s="32">
        <v>0</v>
      </c>
      <c r="DY27" s="32">
        <v>0</v>
      </c>
      <c r="DZ27" s="32"/>
      <c r="EA27" s="32" cm="1">
        <f t="array" ref="EA27:EK37">GridBullDeltaBS(C6,C8,C7,C9,C10,C13,C14,C15,C16)</f>
        <v>8.1195828385808441E-42</v>
      </c>
      <c r="EB27" s="32">
        <v>3.9311708956063654E-44</v>
      </c>
      <c r="EC27" s="32">
        <v>9.0244260202829704E-47</v>
      </c>
      <c r="ED27" s="32">
        <v>8.272960168253513E-50</v>
      </c>
      <c r="EE27" s="32">
        <v>2.4164694083825864E-53</v>
      </c>
      <c r="EF27" s="32">
        <v>1.661484401360877E-57</v>
      </c>
      <c r="EG27" s="32">
        <v>1.7694559180752547E-62</v>
      </c>
      <c r="EH27" s="32">
        <v>1.5840252565540507E-68</v>
      </c>
      <c r="EI27" s="32">
        <v>4.41871448137374E-76</v>
      </c>
      <c r="EJ27" s="32">
        <v>5.1140175465645696E-86</v>
      </c>
      <c r="EK27" s="32">
        <v>0</v>
      </c>
      <c r="EL27" s="32"/>
      <c r="EM27" s="32" cm="1">
        <f t="array" ref="EM27:EW37">GridBearPriceBS(C6,C8,C7,C9,C10,C13,C14,C15,C16)</f>
        <v>28.536882735021422</v>
      </c>
      <c r="EN27" s="32">
        <v>28.679924454992996</v>
      </c>
      <c r="EO27" s="32">
        <v>28.823683174569695</v>
      </c>
      <c r="EP27" s="32">
        <v>28.968162487726993</v>
      </c>
      <c r="EQ27" s="32">
        <v>29.113366006455244</v>
      </c>
      <c r="ER27" s="32">
        <v>29.259297360849978</v>
      </c>
      <c r="ES27" s="32">
        <v>29.405960199202656</v>
      </c>
      <c r="ET27" s="32">
        <v>29.553358188091881</v>
      </c>
      <c r="EU27" s="32">
        <v>29.701495012475043</v>
      </c>
      <c r="EV27" s="32">
        <v>29.850374375780468</v>
      </c>
      <c r="EW27" s="32">
        <v>30</v>
      </c>
      <c r="EX27" s="32"/>
      <c r="EY27" s="32" cm="1">
        <f t="array" ref="EY27:FI37">GridBearDeltaBS(C6,C8,C7,C9,C10,C13,C14,C15,C16)</f>
        <v>-2.9798641776324075E-8</v>
      </c>
      <c r="EZ27" s="32">
        <v>-2.694665113267547E-8</v>
      </c>
      <c r="FA27" s="32">
        <v>-2.4066771686648281E-8</v>
      </c>
      <c r="FB27" s="32">
        <v>-2.1158808038990173E-8</v>
      </c>
      <c r="FC27" s="32">
        <v>-1.8222564790448814E-8</v>
      </c>
      <c r="FD27" s="32">
        <v>-1.5257818120062439E-8</v>
      </c>
      <c r="FE27" s="32">
        <v>-1.22644081557155E-8</v>
      </c>
      <c r="FF27" s="32">
        <v>-9.2421288400146295E-9</v>
      </c>
      <c r="FG27" s="32">
        <v>-6.1907741155664553E-9</v>
      </c>
      <c r="FH27" s="32">
        <v>-3.1101237141228921E-9</v>
      </c>
      <c r="FI27" s="32">
        <v>0</v>
      </c>
      <c r="FJ27" s="32"/>
      <c r="FK27" s="32" cm="1">
        <f t="array" ref="FK27:FU37">GridStranglePriceBS(C6,C8,C7,C9,C10,C13,C14,C15,C16)</f>
        <v>95.122942450071406</v>
      </c>
      <c r="FL27" s="32">
        <v>95.599748183309984</v>
      </c>
      <c r="FM27" s="32">
        <v>96.078943915232315</v>
      </c>
      <c r="FN27" s="32">
        <v>96.560541625756642</v>
      </c>
      <c r="FO27" s="32">
        <v>97.044553354850819</v>
      </c>
      <c r="FP27" s="32">
        <v>97.530991202833263</v>
      </c>
      <c r="FQ27" s="32">
        <v>98.019867330675524</v>
      </c>
      <c r="FR27" s="32">
        <v>98.511193960306258</v>
      </c>
      <c r="FS27" s="32">
        <v>99.004983374916804</v>
      </c>
      <c r="FT27" s="32">
        <v>99.501247919268238</v>
      </c>
      <c r="FU27" s="32">
        <v>100</v>
      </c>
      <c r="FV27" s="32"/>
      <c r="FW27" s="32" cm="1">
        <f t="array" ref="FW27:GG37">GridStrangleDeltaBS(C6,C8,C7,C9,C10,C13,C14,C15,C16)</f>
        <v>-1</v>
      </c>
      <c r="FX27" s="32">
        <v>-1</v>
      </c>
      <c r="FY27" s="32">
        <v>-1</v>
      </c>
      <c r="FZ27" s="32">
        <v>-1</v>
      </c>
      <c r="GA27" s="32">
        <v>-1</v>
      </c>
      <c r="GB27" s="32">
        <v>-1</v>
      </c>
      <c r="GC27" s="32">
        <v>-1</v>
      </c>
      <c r="GD27" s="32">
        <v>-1</v>
      </c>
      <c r="GE27" s="32">
        <v>-1</v>
      </c>
      <c r="GF27" s="32">
        <v>-1</v>
      </c>
      <c r="GG27" s="32">
        <v>-1</v>
      </c>
      <c r="GH27" s="32"/>
      <c r="GI27" s="32" cm="1">
        <f t="array" ref="GI27:GS37">GridButterflyPriceBS(C6,C8,C7,C9,C10,C13,C14,C15,C16)</f>
        <v>0</v>
      </c>
      <c r="GJ27" s="32">
        <v>0</v>
      </c>
      <c r="GK27" s="32">
        <v>0</v>
      </c>
      <c r="GL27" s="32">
        <v>0</v>
      </c>
      <c r="GM27" s="32">
        <v>0</v>
      </c>
      <c r="GN27" s="32">
        <v>0</v>
      </c>
      <c r="GO27" s="32">
        <v>0</v>
      </c>
      <c r="GP27" s="32">
        <v>0</v>
      </c>
      <c r="GQ27" s="32">
        <v>0</v>
      </c>
      <c r="GR27" s="32">
        <v>0</v>
      </c>
      <c r="GS27" s="32">
        <v>0</v>
      </c>
      <c r="GT27" s="32"/>
      <c r="GU27" s="32" cm="1">
        <f t="array" ref="GU27:HE37">GridButterflyDeltaBS(C6,C8,C7,C9,C10,C13,C14,C15,C16)</f>
        <v>8.100919254154307E-42</v>
      </c>
      <c r="GV27" s="32">
        <v>3.9252448283955728E-44</v>
      </c>
      <c r="GW27" s="32">
        <v>9.0159364324315548E-47</v>
      </c>
      <c r="GX27" s="32">
        <v>8.2683622390441283E-50</v>
      </c>
      <c r="GY27" s="32">
        <v>2.4157212232516504E-53</v>
      </c>
      <c r="GZ27" s="32">
        <v>1.6612146124432358E-57</v>
      </c>
      <c r="HA27" s="32">
        <v>1.7693137973199905E-62</v>
      </c>
      <c r="HB27" s="32">
        <v>1.5839655285223883E-68</v>
      </c>
      <c r="HC27" s="32">
        <v>4.418639457706245E-76</v>
      </c>
      <c r="HD27" s="32">
        <v>5.1139795343117239E-86</v>
      </c>
      <c r="HE27" s="32">
        <v>0</v>
      </c>
    </row>
    <row r="28" spans="17:213" ht="20.350000000000001" customHeight="1" x14ac:dyDescent="0.45">
      <c r="W28" s="32">
        <v>75.122942350984971</v>
      </c>
      <c r="X28" s="32">
        <v>75.599748093685193</v>
      </c>
      <c r="Y28" s="32">
        <v>76.078943835166527</v>
      </c>
      <c r="Z28" s="32">
        <v>76.560541555347882</v>
      </c>
      <c r="AA28" s="32">
        <v>77.044553294197968</v>
      </c>
      <c r="AB28" s="32">
        <v>77.530991152035909</v>
      </c>
      <c r="AC28" s="32">
        <v>78.01986728983394</v>
      </c>
      <c r="AD28" s="32">
        <v>78.511193929521568</v>
      </c>
      <c r="AE28" s="32">
        <v>79.004983354290786</v>
      </c>
      <c r="AF28" s="32">
        <v>79.501247908903551</v>
      </c>
      <c r="AG28" s="32">
        <v>80</v>
      </c>
      <c r="AH28" s="32"/>
      <c r="AI28" s="32">
        <v>-0.99999999999989342</v>
      </c>
      <c r="AJ28" s="32">
        <v>-0.99999999999999289</v>
      </c>
      <c r="AK28" s="32">
        <v>-0.99999999999998579</v>
      </c>
      <c r="AL28" s="32">
        <v>-1</v>
      </c>
      <c r="AM28" s="32">
        <v>-0.99999999999997868</v>
      </c>
      <c r="AN28" s="32">
        <v>-1</v>
      </c>
      <c r="AO28" s="32">
        <v>-0.99999999999998579</v>
      </c>
      <c r="AP28" s="32">
        <v>-0.99999999999997868</v>
      </c>
      <c r="AQ28" s="32">
        <v>-0.99999999999997158</v>
      </c>
      <c r="AR28" s="32">
        <v>-0.99999999999996447</v>
      </c>
      <c r="AS28" s="32">
        <v>-1</v>
      </c>
      <c r="AT28" s="32"/>
      <c r="AU28" s="32">
        <v>1.1743120281765272E-14</v>
      </c>
      <c r="AV28" s="32">
        <v>6.4382733401952068E-16</v>
      </c>
      <c r="AW28" s="32">
        <v>2.0191323821821074E-17</v>
      </c>
      <c r="AX28" s="32">
        <v>3.0731894017555556E-19</v>
      </c>
      <c r="AY28" s="32">
        <v>1.8069399558910438E-21</v>
      </c>
      <c r="AZ28" s="32">
        <v>2.9765388575832424E-24</v>
      </c>
      <c r="BA28" s="32">
        <v>8.6765096466342417E-28</v>
      </c>
      <c r="BB28" s="32">
        <v>2.2748672657243401E-32</v>
      </c>
      <c r="BC28" s="32">
        <v>1.8306017051060306E-38</v>
      </c>
      <c r="BD28" s="32">
        <v>5.536662300585538E-47</v>
      </c>
      <c r="BE28" s="32">
        <v>0</v>
      </c>
      <c r="BF28" s="32"/>
      <c r="BG28" s="32">
        <v>2.7346891334823169E-14</v>
      </c>
      <c r="BH28" s="32">
        <v>1.6949696929391441E-15</v>
      </c>
      <c r="BI28" s="32">
        <v>6.08544002540416E-17</v>
      </c>
      <c r="BJ28" s="32">
        <v>1.0752092469639428E-18</v>
      </c>
      <c r="BK28" s="32">
        <v>7.4477933395163339E-21</v>
      </c>
      <c r="BL28" s="32">
        <v>1.466422829799928E-23</v>
      </c>
      <c r="BM28" s="32">
        <v>5.1723654064803608E-27</v>
      </c>
      <c r="BN28" s="32">
        <v>1.653501197535881E-31</v>
      </c>
      <c r="BO28" s="32">
        <v>1.623830929478347E-37</v>
      </c>
      <c r="BP28" s="32">
        <v>5.9568831984103195E-46</v>
      </c>
      <c r="BQ28" s="32">
        <v>0</v>
      </c>
      <c r="BR28" s="32"/>
      <c r="BS28" s="32">
        <v>0.95122942350983264</v>
      </c>
      <c r="BT28" s="32">
        <v>0.95599748093685044</v>
      </c>
      <c r="BU28" s="32">
        <v>0.96078943835166453</v>
      </c>
      <c r="BV28" s="32">
        <v>0.96560541555347845</v>
      </c>
      <c r="BW28" s="32">
        <v>0.97044553294197966</v>
      </c>
      <c r="BX28" s="32">
        <v>0.97530991152035884</v>
      </c>
      <c r="BY28" s="32">
        <v>0.98019867289833973</v>
      </c>
      <c r="BZ28" s="32">
        <v>0.98511193929521568</v>
      </c>
      <c r="CA28" s="32">
        <v>0.99004983354290832</v>
      </c>
      <c r="CB28" s="32">
        <v>0.99501247908903567</v>
      </c>
      <c r="CC28" s="32">
        <v>1</v>
      </c>
      <c r="CD28" s="32"/>
      <c r="CE28" s="32">
        <v>-3.8302694349567901E-14</v>
      </c>
      <c r="CF28" s="32">
        <v>-2.1649348980190553E-15</v>
      </c>
      <c r="CG28" s="32">
        <v>1.6653345369377348E-16</v>
      </c>
      <c r="CH28" s="32">
        <v>0</v>
      </c>
      <c r="CI28" s="32">
        <v>-2.7755575615628914E-16</v>
      </c>
      <c r="CJ28" s="32">
        <v>-1.1102230246251565E-16</v>
      </c>
      <c r="CK28" s="32">
        <v>1.6653345369377348E-16</v>
      </c>
      <c r="CL28" s="32">
        <v>0</v>
      </c>
      <c r="CM28" s="32">
        <v>1.1102230246251565E-16</v>
      </c>
      <c r="CN28" s="32">
        <v>5.5511151231257827E-17</v>
      </c>
      <c r="CO28" s="32">
        <v>0</v>
      </c>
      <c r="CP28" s="32"/>
      <c r="CQ28" s="32">
        <v>1.1742390732532131E-14</v>
      </c>
      <c r="CR28" s="32">
        <v>6.4380979114395357E-16</v>
      </c>
      <c r="CS28" s="32">
        <v>2.0191111355927714E-17</v>
      </c>
      <c r="CT28" s="32">
        <v>3.073178640096094E-19</v>
      </c>
      <c r="CU28" s="32">
        <v>1.8069381780897362E-21</v>
      </c>
      <c r="CV28" s="32">
        <v>2.9765381725866743E-24</v>
      </c>
      <c r="CW28" s="32">
        <v>8.6765092577455188E-28</v>
      </c>
      <c r="CX28" s="32">
        <v>2.2748672488274506E-32</v>
      </c>
      <c r="CY28" s="32">
        <v>1.8306017031025395E-38</v>
      </c>
      <c r="CZ28" s="32">
        <v>5.5366622997448534E-47</v>
      </c>
      <c r="DA28" s="32">
        <v>0</v>
      </c>
      <c r="DB28" s="32"/>
      <c r="DC28" s="32">
        <v>2.73448495392954E-14</v>
      </c>
      <c r="DD28" s="32">
        <v>1.6949142110817164E-15</v>
      </c>
      <c r="DE28" s="32">
        <v>6.0853632859275808E-17</v>
      </c>
      <c r="DF28" s="32">
        <v>1.0752047597005598E-18</v>
      </c>
      <c r="DG28" s="32">
        <v>7.4477846934738924E-21</v>
      </c>
      <c r="DH28" s="32">
        <v>1.4664224379034965E-23</v>
      </c>
      <c r="DI28" s="32">
        <v>5.1723651433142814E-27</v>
      </c>
      <c r="DJ28" s="32">
        <v>1.6535011839944631E-31</v>
      </c>
      <c r="DK28" s="32">
        <v>1.6238309275832355E-37</v>
      </c>
      <c r="DL28" s="32">
        <v>5.9568831974785668E-46</v>
      </c>
      <c r="DM28" s="32">
        <v>0</v>
      </c>
      <c r="DN28" s="32"/>
      <c r="DO28" s="32">
        <v>3.9630211777749469E-14</v>
      </c>
      <c r="DP28" s="32">
        <v>2.0266865921463415E-15</v>
      </c>
      <c r="DQ28" s="32">
        <v>5.9092405141603011E-17</v>
      </c>
      <c r="DR28" s="32">
        <v>8.3361991169217651E-19</v>
      </c>
      <c r="DS28" s="32">
        <v>4.5314120420708396E-21</v>
      </c>
      <c r="DT28" s="32">
        <v>6.8909624543309603E-24</v>
      </c>
      <c r="DU28" s="32">
        <v>1.8549138361523578E-27</v>
      </c>
      <c r="DV28" s="32">
        <v>4.5030777140728302E-32</v>
      </c>
      <c r="DW28" s="32">
        <v>3.3728006238169337E-38</v>
      </c>
      <c r="DX28" s="32">
        <v>9.5636283305869851E-47</v>
      </c>
      <c r="DY28" s="32">
        <v>0</v>
      </c>
      <c r="DZ28" s="32"/>
      <c r="EA28" s="32">
        <v>9.3959932218748299E-14</v>
      </c>
      <c r="EB28" s="32">
        <v>5.4232396533075662E-15</v>
      </c>
      <c r="EC28" s="32">
        <v>1.8070869433792753E-16</v>
      </c>
      <c r="ED28" s="32">
        <v>2.9537775997704803E-18</v>
      </c>
      <c r="EE28" s="32">
        <v>1.8877809934135821E-20</v>
      </c>
      <c r="EF28" s="32">
        <v>3.4240531297181482E-23</v>
      </c>
      <c r="EG28" s="32">
        <v>1.1128591466415147E-26</v>
      </c>
      <c r="EH28" s="32">
        <v>3.2872011275154818E-31</v>
      </c>
      <c r="EI28" s="32">
        <v>2.9992175602057423E-37</v>
      </c>
      <c r="EJ28" s="32">
        <v>1.0299682232581904E-45</v>
      </c>
      <c r="EK28" s="32">
        <v>0</v>
      </c>
      <c r="EL28" s="32"/>
      <c r="EM28" s="32">
        <v>28.536882705295454</v>
      </c>
      <c r="EN28" s="32">
        <v>28.679924428105558</v>
      </c>
      <c r="EO28" s="32">
        <v>28.82368315054995</v>
      </c>
      <c r="EP28" s="32">
        <v>28.968162466604376</v>
      </c>
      <c r="EQ28" s="32">
        <v>29.113365988259396</v>
      </c>
      <c r="ER28" s="32">
        <v>29.259297345610772</v>
      </c>
      <c r="ES28" s="32">
        <v>29.405960186950189</v>
      </c>
      <c r="ET28" s="32">
        <v>29.553358178856474</v>
      </c>
      <c r="EU28" s="32">
        <v>29.701495006287249</v>
      </c>
      <c r="EV28" s="32">
        <v>29.850374372671062</v>
      </c>
      <c r="EW28" s="32">
        <v>30</v>
      </c>
      <c r="EX28" s="32"/>
      <c r="EY28" s="32">
        <v>-8.7041485130612273E-14</v>
      </c>
      <c r="EZ28" s="32">
        <v>-1.7763568394002505E-15</v>
      </c>
      <c r="FA28" s="32">
        <v>3.5527136788005009E-15</v>
      </c>
      <c r="FB28" s="32">
        <v>0</v>
      </c>
      <c r="FC28" s="32">
        <v>1.7763568394002505E-15</v>
      </c>
      <c r="FD28" s="32">
        <v>-1.7763568394002505E-15</v>
      </c>
      <c r="FE28" s="32">
        <v>-5.3290705182007514E-15</v>
      </c>
      <c r="FF28" s="32">
        <v>-1.7763568394002505E-15</v>
      </c>
      <c r="FG28" s="32">
        <v>1.7763568394002505E-15</v>
      </c>
      <c r="FH28" s="32">
        <v>5.3290705182007514E-15</v>
      </c>
      <c r="FI28" s="32">
        <v>0</v>
      </c>
      <c r="FJ28" s="32"/>
      <c r="FK28" s="32">
        <v>75.122942350984971</v>
      </c>
      <c r="FL28" s="32">
        <v>75.599748093685193</v>
      </c>
      <c r="FM28" s="32">
        <v>76.078943835166527</v>
      </c>
      <c r="FN28" s="32">
        <v>76.560541555347882</v>
      </c>
      <c r="FO28" s="32">
        <v>77.044553294197968</v>
      </c>
      <c r="FP28" s="32">
        <v>77.530991152035909</v>
      </c>
      <c r="FQ28" s="32">
        <v>78.01986728983394</v>
      </c>
      <c r="FR28" s="32">
        <v>78.511193929521568</v>
      </c>
      <c r="FS28" s="32">
        <v>79.004983354290786</v>
      </c>
      <c r="FT28" s="32">
        <v>79.501247908903551</v>
      </c>
      <c r="FU28" s="32">
        <v>80</v>
      </c>
      <c r="FV28" s="32"/>
      <c r="FW28" s="32">
        <v>-0.99999999999989342</v>
      </c>
      <c r="FX28" s="32">
        <v>-0.99999999999999289</v>
      </c>
      <c r="FY28" s="32">
        <v>-0.99999999999998579</v>
      </c>
      <c r="FZ28" s="32">
        <v>-1</v>
      </c>
      <c r="GA28" s="32">
        <v>-0.99999999999997868</v>
      </c>
      <c r="GB28" s="32">
        <v>-1</v>
      </c>
      <c r="GC28" s="32">
        <v>-0.99999999999998579</v>
      </c>
      <c r="GD28" s="32">
        <v>-0.99999999999997868</v>
      </c>
      <c r="GE28" s="32">
        <v>-0.99999999999997158</v>
      </c>
      <c r="GF28" s="32">
        <v>-0.99999999999996447</v>
      </c>
      <c r="GG28" s="32">
        <v>-1</v>
      </c>
      <c r="GH28" s="32"/>
      <c r="GI28" s="32">
        <v>3.9154515057195234E-14</v>
      </c>
      <c r="GJ28" s="32">
        <v>2.0110276131696024E-15</v>
      </c>
      <c r="GK28" s="32">
        <v>5.8818590560294135E-17</v>
      </c>
      <c r="GL28" s="32">
        <v>8.3148873542998143E-19</v>
      </c>
      <c r="GM28" s="32">
        <v>4.5256056926987219E-21</v>
      </c>
      <c r="GN28" s="32">
        <v>6.8869811213745343E-24</v>
      </c>
      <c r="GO28" s="32">
        <v>1.8544800850429372E-27</v>
      </c>
      <c r="GP28" s="32">
        <v>4.5026912476643916E-32</v>
      </c>
      <c r="GQ28" s="32">
        <v>3.3727019215984264E-38</v>
      </c>
      <c r="GR28" s="32">
        <v>9.5635366347868684E-47</v>
      </c>
      <c r="GS28" s="32">
        <v>0</v>
      </c>
      <c r="GT28" s="32"/>
      <c r="GU28" s="32">
        <v>9.2712367390817773E-14</v>
      </c>
      <c r="GV28" s="32">
        <v>5.3768685249777411E-15</v>
      </c>
      <c r="GW28" s="32">
        <v>1.7978264805832079E-16</v>
      </c>
      <c r="GX28" s="32">
        <v>2.94544585371473E-18</v>
      </c>
      <c r="GY28" s="32">
        <v>1.8851250264772062E-20</v>
      </c>
      <c r="GZ28" s="32">
        <v>3.4218987892306767E-23</v>
      </c>
      <c r="HA28" s="32">
        <v>1.1125792194836444E-26</v>
      </c>
      <c r="HB28" s="32">
        <v>3.2869025570140495E-31</v>
      </c>
      <c r="HC28" s="32">
        <v>2.999126432154748E-37</v>
      </c>
      <c r="HD28" s="32">
        <v>1.029958174264327E-45</v>
      </c>
      <c r="HE28" s="32">
        <v>0</v>
      </c>
    </row>
    <row r="29" spans="17:213" ht="20.350000000000001" customHeight="1" x14ac:dyDescent="0.45">
      <c r="W29" s="32">
        <v>55.122964136500471</v>
      </c>
      <c r="X29" s="32">
        <v>55.59975422875052</v>
      </c>
      <c r="Y29" s="32">
        <v>56.078945138703951</v>
      </c>
      <c r="Z29" s="32">
        <v>56.560541743217691</v>
      </c>
      <c r="AA29" s="32">
        <v>57.044553309773875</v>
      </c>
      <c r="AB29" s="32">
        <v>57.530991152606077</v>
      </c>
      <c r="AC29" s="32">
        <v>58.019867289839873</v>
      </c>
      <c r="AD29" s="32">
        <v>58.511193929521532</v>
      </c>
      <c r="AE29" s="32">
        <v>59.004983354290786</v>
      </c>
      <c r="AF29" s="32">
        <v>59.501247908903515</v>
      </c>
      <c r="AG29" s="32">
        <v>60</v>
      </c>
      <c r="AH29" s="32"/>
      <c r="AI29" s="32">
        <v>-0.99998664320670372</v>
      </c>
      <c r="AJ29" s="32">
        <v>-0.99999582949981658</v>
      </c>
      <c r="AK29" s="32">
        <v>-0.99999900480039017</v>
      </c>
      <c r="AL29" s="32">
        <v>-0.99999983630933542</v>
      </c>
      <c r="AM29" s="32">
        <v>-0.99999998419655611</v>
      </c>
      <c r="AN29" s="32">
        <v>-0.99999999930924943</v>
      </c>
      <c r="AO29" s="32">
        <v>-0.99999999999115019</v>
      </c>
      <c r="AP29" s="32">
        <v>-0.99999999999998934</v>
      </c>
      <c r="AQ29" s="32">
        <v>-1</v>
      </c>
      <c r="AR29" s="32">
        <v>-1</v>
      </c>
      <c r="AS29" s="32">
        <v>-1</v>
      </c>
      <c r="AT29" s="32"/>
      <c r="AU29" s="32">
        <v>4.4240041458984102E-6</v>
      </c>
      <c r="AV29" s="32">
        <v>1.3602347204652645E-6</v>
      </c>
      <c r="AW29" s="32">
        <v>3.179364099278491E-7</v>
      </c>
      <c r="AX29" s="32">
        <v>5.0839592307768561E-8</v>
      </c>
      <c r="AY29" s="32">
        <v>4.7206249209056931E-9</v>
      </c>
      <c r="AZ29" s="32">
        <v>1.9538372253535609E-10</v>
      </c>
      <c r="BA29" s="32">
        <v>2.3211257729432843E-12</v>
      </c>
      <c r="BB29" s="32">
        <v>3.7579397746712151E-15</v>
      </c>
      <c r="BC29" s="32">
        <v>2.3336559245575066E-19</v>
      </c>
      <c r="BD29" s="32">
        <v>5.1990337647470712E-26</v>
      </c>
      <c r="BE29" s="32">
        <v>0</v>
      </c>
      <c r="BF29" s="32"/>
      <c r="BG29" s="32">
        <v>2.6072695344218946E-6</v>
      </c>
      <c r="BH29" s="32">
        <v>8.9211012971220945E-7</v>
      </c>
      <c r="BI29" s="32">
        <v>2.3507108123053998E-7</v>
      </c>
      <c r="BJ29" s="32">
        <v>4.3065471233268913E-8</v>
      </c>
      <c r="BK29" s="32">
        <v>4.6754435003041423E-9</v>
      </c>
      <c r="BL29" s="32">
        <v>2.3207095130302551E-10</v>
      </c>
      <c r="BM29" s="32">
        <v>3.4067941578720713E-12</v>
      </c>
      <c r="BN29" s="32">
        <v>7.0225741655318832E-15</v>
      </c>
      <c r="BO29" s="32">
        <v>5.6572987824874708E-19</v>
      </c>
      <c r="BP29" s="32">
        <v>1.6303891505286583E-25</v>
      </c>
      <c r="BQ29" s="32">
        <v>0</v>
      </c>
      <c r="BR29" s="32"/>
      <c r="BS29" s="32">
        <v>0.95122386987059371</v>
      </c>
      <c r="BT29" s="32">
        <v>0.95599573241238978</v>
      </c>
      <c r="BU29" s="32">
        <v>0.96078901762867708</v>
      </c>
      <c r="BV29" s="32">
        <v>0.96560534580214019</v>
      </c>
      <c r="BW29" s="32">
        <v>0.97044552616135349</v>
      </c>
      <c r="BX29" s="32">
        <v>0.97530991122260746</v>
      </c>
      <c r="BY29" s="32">
        <v>0.98019867289451978</v>
      </c>
      <c r="BZ29" s="32">
        <v>0.98511193929520824</v>
      </c>
      <c r="CA29" s="32">
        <v>0.99004983354290776</v>
      </c>
      <c r="CB29" s="32">
        <v>0.99501247908903523</v>
      </c>
      <c r="CC29" s="32">
        <v>1</v>
      </c>
      <c r="CD29" s="32"/>
      <c r="CE29" s="32">
        <v>-3.2381762997690799E-6</v>
      </c>
      <c r="CF29" s="32">
        <v>-1.1344521244072148E-6</v>
      </c>
      <c r="CG29" s="32">
        <v>-3.076970722104555E-7</v>
      </c>
      <c r="CH29" s="32">
        <v>-5.844073153182805E-8</v>
      </c>
      <c r="CI29" s="32">
        <v>-6.6424475364534885E-9</v>
      </c>
      <c r="CJ29" s="32">
        <v>-3.4986846753071177E-10</v>
      </c>
      <c r="CK29" s="32">
        <v>-5.5496163220425387E-12</v>
      </c>
      <c r="CL29" s="32">
        <v>-1.2823075934420558E-14</v>
      </c>
      <c r="CM29" s="32">
        <v>-1.6653345369377348E-16</v>
      </c>
      <c r="CN29" s="32">
        <v>-1.1102230246251565E-16</v>
      </c>
      <c r="CO29" s="32">
        <v>0</v>
      </c>
      <c r="CP29" s="32"/>
      <c r="CQ29" s="32">
        <v>4.4175029099561028E-6</v>
      </c>
      <c r="CR29" s="32">
        <v>1.3592150759127498E-6</v>
      </c>
      <c r="CS29" s="32">
        <v>3.1783125279518481E-7</v>
      </c>
      <c r="CT29" s="32">
        <v>5.083346111217047E-8</v>
      </c>
      <c r="CU29" s="32">
        <v>4.7204634464982474E-9</v>
      </c>
      <c r="CV29" s="32">
        <v>1.9538235241906951E-10</v>
      </c>
      <c r="CW29" s="32">
        <v>2.3211235235631163E-12</v>
      </c>
      <c r="CX29" s="32">
        <v>3.7579394423703154E-15</v>
      </c>
      <c r="CY29" s="32">
        <v>2.3336559110196895E-19</v>
      </c>
      <c r="CZ29" s="32">
        <v>5.1990337630383673E-26</v>
      </c>
      <c r="DA29" s="32">
        <v>0</v>
      </c>
      <c r="DB29" s="32"/>
      <c r="DC29" s="32">
        <v>2.602381375007507E-6</v>
      </c>
      <c r="DD29" s="32">
        <v>8.9125542733149506E-7</v>
      </c>
      <c r="DE29" s="32">
        <v>2.3497157339458964E-7</v>
      </c>
      <c r="DF29" s="32">
        <v>4.3058823048412157E-8</v>
      </c>
      <c r="DG29" s="32">
        <v>4.6752393466865269E-9</v>
      </c>
      <c r="DH29" s="32">
        <v>2.3206889279839427E-10</v>
      </c>
      <c r="DI29" s="32">
        <v>3.4067900696097106E-12</v>
      </c>
      <c r="DJ29" s="32">
        <v>7.022573426276191E-15</v>
      </c>
      <c r="DK29" s="32">
        <v>5.6572987455827916E-19</v>
      </c>
      <c r="DL29" s="32">
        <v>1.6303891499634235E-25</v>
      </c>
      <c r="DM29" s="32">
        <v>0</v>
      </c>
      <c r="DN29" s="32"/>
      <c r="DO29" s="32">
        <v>2.1758958973007209E-5</v>
      </c>
      <c r="DP29" s="32">
        <v>6.1313310483008822E-6</v>
      </c>
      <c r="DQ29" s="32">
        <v>1.303195909032854E-6</v>
      </c>
      <c r="DR29" s="32">
        <v>1.8785230224320679E-7</v>
      </c>
      <c r="DS29" s="32">
        <v>1.5575478639174039E-8</v>
      </c>
      <c r="DT29" s="32">
        <v>5.7015407144701639E-10</v>
      </c>
      <c r="DU29" s="32">
        <v>5.9436986669637168E-12</v>
      </c>
      <c r="DV29" s="32">
        <v>8.4246120591137762E-15</v>
      </c>
      <c r="DW29" s="32">
        <v>4.6150735187886875E-19</v>
      </c>
      <c r="DX29" s="32">
        <v>9.2308978923994498E-26</v>
      </c>
      <c r="DY29" s="32">
        <v>0</v>
      </c>
      <c r="DZ29" s="32"/>
      <c r="EA29" s="32">
        <v>1.3336159195453975E-5</v>
      </c>
      <c r="EB29" s="32">
        <v>4.1672735878139782E-6</v>
      </c>
      <c r="EC29" s="32">
        <v>9.9486741764408858E-7</v>
      </c>
      <c r="ED29" s="32">
        <v>1.6367131413661531E-7</v>
      </c>
      <c r="EE29" s="32">
        <v>1.5802949976585683E-8</v>
      </c>
      <c r="EF29" s="32">
        <v>6.9075385043560924E-10</v>
      </c>
      <c r="EG29" s="32">
        <v>8.8567781099870849E-12</v>
      </c>
      <c r="EH29" s="32">
        <v>1.5904904239207956E-14</v>
      </c>
      <c r="EI29" s="32">
        <v>1.1250675689660225E-18</v>
      </c>
      <c r="EJ29" s="32">
        <v>2.9006960732088912E-25</v>
      </c>
      <c r="EK29" s="32">
        <v>0</v>
      </c>
      <c r="EL29" s="32"/>
      <c r="EM29" s="32">
        <v>28.536860946336532</v>
      </c>
      <c r="EN29" s="32">
        <v>28.679918296774531</v>
      </c>
      <c r="EO29" s="32">
        <v>28.823681847354059</v>
      </c>
      <c r="EP29" s="32">
        <v>28.968162278752089</v>
      </c>
      <c r="EQ29" s="32">
        <v>29.113365972683926</v>
      </c>
      <c r="ER29" s="32">
        <v>29.259297345040618</v>
      </c>
      <c r="ES29" s="32">
        <v>29.405960186944231</v>
      </c>
      <c r="ET29" s="32">
        <v>29.553358178856445</v>
      </c>
      <c r="EU29" s="32">
        <v>29.701495006287228</v>
      </c>
      <c r="EV29" s="32">
        <v>29.850374372671059</v>
      </c>
      <c r="EW29" s="32">
        <v>30</v>
      </c>
      <c r="EX29" s="32"/>
      <c r="EY29" s="32">
        <v>-1.3336159200960651E-5</v>
      </c>
      <c r="EZ29" s="32">
        <v>-4.1672735946463035E-6</v>
      </c>
      <c r="FA29" s="32">
        <v>-9.9486742222154589E-7</v>
      </c>
      <c r="FB29" s="32">
        <v>-1.6367131649985822E-7</v>
      </c>
      <c r="FC29" s="32">
        <v>-1.5802957165078624E-8</v>
      </c>
      <c r="FD29" s="32">
        <v>-6.907647787102178E-10</v>
      </c>
      <c r="FE29" s="32">
        <v>-8.8604679149284493E-12</v>
      </c>
      <c r="FF29" s="32">
        <v>-1.7763568394002505E-14</v>
      </c>
      <c r="FG29" s="32">
        <v>-7.1054273576010019E-15</v>
      </c>
      <c r="FH29" s="32">
        <v>-5.3290705182007514E-15</v>
      </c>
      <c r="FI29" s="32">
        <v>0</v>
      </c>
      <c r="FJ29" s="32"/>
      <c r="FK29" s="32">
        <v>55.122964163056913</v>
      </c>
      <c r="FL29" s="32">
        <v>55.599754232484706</v>
      </c>
      <c r="FM29" s="32">
        <v>56.078945139045388</v>
      </c>
      <c r="FN29" s="32">
        <v>56.560541743235135</v>
      </c>
      <c r="FO29" s="32">
        <v>57.04455330977428</v>
      </c>
      <c r="FP29" s="32">
        <v>57.530991152606077</v>
      </c>
      <c r="FQ29" s="32">
        <v>58.019867289839873</v>
      </c>
      <c r="FR29" s="32">
        <v>58.511193929521532</v>
      </c>
      <c r="FS29" s="32">
        <v>59.004983354290786</v>
      </c>
      <c r="FT29" s="32">
        <v>59.501247908903515</v>
      </c>
      <c r="FU29" s="32">
        <v>60</v>
      </c>
      <c r="FV29" s="32"/>
      <c r="FW29" s="32">
        <v>-0.99998662257256399</v>
      </c>
      <c r="FX29" s="32">
        <v>-0.99999582627320294</v>
      </c>
      <c r="FY29" s="32">
        <v>-0.99999900446818302</v>
      </c>
      <c r="FZ29" s="32">
        <v>-0.99999983628994471</v>
      </c>
      <c r="GA29" s="32">
        <v>-0.99999998419603031</v>
      </c>
      <c r="GB29" s="32">
        <v>-0.99999999930924943</v>
      </c>
      <c r="GC29" s="32">
        <v>-0.99999999999115019</v>
      </c>
      <c r="GD29" s="32">
        <v>-0.99999999999998934</v>
      </c>
      <c r="GE29" s="32">
        <v>-1</v>
      </c>
      <c r="GF29" s="32">
        <v>-1</v>
      </c>
      <c r="GG29" s="32">
        <v>-1</v>
      </c>
      <c r="GH29" s="32"/>
      <c r="GI29" s="32">
        <v>2.0338631969495484E-5</v>
      </c>
      <c r="GJ29" s="32">
        <v>5.8470309636416188E-6</v>
      </c>
      <c r="GK29" s="32">
        <v>1.2635106080460017E-6</v>
      </c>
      <c r="GL29" s="32">
        <v>1.844656868788343E-7</v>
      </c>
      <c r="GM29" s="32">
        <v>1.5430688439048226E-8</v>
      </c>
      <c r="GN29" s="32">
        <v>5.6787557956568175E-10</v>
      </c>
      <c r="GO29" s="32">
        <v>5.9355692369484986E-12</v>
      </c>
      <c r="GP29" s="32">
        <v>8.4215449126392745E-15</v>
      </c>
      <c r="GQ29" s="32">
        <v>4.6147118931211106E-19</v>
      </c>
      <c r="GR29" s="32">
        <v>9.2307577841161215E-26</v>
      </c>
      <c r="GS29" s="32">
        <v>0</v>
      </c>
      <c r="GT29" s="32"/>
      <c r="GU29" s="32">
        <v>1.2346962390310163E-5</v>
      </c>
      <c r="GV29" s="32">
        <v>3.9470641728456403E-6</v>
      </c>
      <c r="GW29" s="32">
        <v>9.6025024526801242E-7</v>
      </c>
      <c r="GX29" s="32">
        <v>1.6029315305077538E-7</v>
      </c>
      <c r="GY29" s="32">
        <v>1.5634692926675225E-8</v>
      </c>
      <c r="GZ29" s="32">
        <v>6.8760156065957408E-10</v>
      </c>
      <c r="HA29" s="32">
        <v>8.8430784095072022E-12</v>
      </c>
      <c r="HB29" s="32">
        <v>1.5898489212829603E-14</v>
      </c>
      <c r="HC29" s="32">
        <v>1.1249730071360218E-18</v>
      </c>
      <c r="HD29" s="32">
        <v>2.9006506037195121E-25</v>
      </c>
      <c r="HE29" s="32">
        <v>0</v>
      </c>
    </row>
    <row r="30" spans="17:213" ht="20.350000000000001" customHeight="1" x14ac:dyDescent="0.45">
      <c r="W30" s="32">
        <v>35.177718100354959</v>
      </c>
      <c r="X30" s="32">
        <v>35.632987486093903</v>
      </c>
      <c r="Y30" s="32">
        <v>36.09707042073822</v>
      </c>
      <c r="Z30" s="32">
        <v>36.569056829407025</v>
      </c>
      <c r="AA30" s="32">
        <v>37.047770254150734</v>
      </c>
      <c r="AB30" s="32">
        <v>37.531858374982185</v>
      </c>
      <c r="AC30" s="32">
        <v>38.020000253600848</v>
      </c>
      <c r="AD30" s="32">
        <v>38.511201108247064</v>
      </c>
      <c r="AE30" s="32">
        <v>39.004983398367528</v>
      </c>
      <c r="AF30" s="32">
        <v>39.50124790890537</v>
      </c>
      <c r="AG30" s="32">
        <v>40</v>
      </c>
      <c r="AH30" s="32"/>
      <c r="AI30" s="32">
        <v>-0.98613553255490416</v>
      </c>
      <c r="AJ30" s="32">
        <v>-0.9907694670586622</v>
      </c>
      <c r="AK30" s="32">
        <v>-0.99441110360466567</v>
      </c>
      <c r="AL30" s="32">
        <v>-0.99704030141922217</v>
      </c>
      <c r="AM30" s="32">
        <v>-0.99871408744142087</v>
      </c>
      <c r="AN30" s="32">
        <v>-0.99959032052838026</v>
      </c>
      <c r="AO30" s="32">
        <v>-0.9999228409931824</v>
      </c>
      <c r="AP30" s="32">
        <v>-0.99999458685924125</v>
      </c>
      <c r="AQ30" s="32">
        <v>-0.99999995350589543</v>
      </c>
      <c r="AR30" s="32">
        <v>-0.99999999999704769</v>
      </c>
      <c r="AS30" s="32">
        <v>-1</v>
      </c>
      <c r="AT30" s="32"/>
      <c r="AU30" s="32">
        <v>7.223926087032654E-3</v>
      </c>
      <c r="AV30" s="32">
        <v>4.7992937847046706E-3</v>
      </c>
      <c r="AW30" s="32">
        <v>2.8936018215683671E-3</v>
      </c>
      <c r="AX30" s="32">
        <v>1.5211505001704938E-3</v>
      </c>
      <c r="AY30" s="32">
        <v>6.529296715770777E-4</v>
      </c>
      <c r="AZ30" s="32">
        <v>2.039023053389506E-4</v>
      </c>
      <c r="BA30" s="32">
        <v>3.71268722725477E-5</v>
      </c>
      <c r="BB30" s="32">
        <v>2.4530416049202668E-6</v>
      </c>
      <c r="BC30" s="32">
        <v>1.8892327201262433E-8</v>
      </c>
      <c r="BD30" s="32">
        <v>1.0106969787022983E-12</v>
      </c>
      <c r="BE30" s="32">
        <v>0</v>
      </c>
      <c r="BF30" s="32"/>
      <c r="BG30" s="32">
        <v>1.6612491345563683E-3</v>
      </c>
      <c r="BH30" s="32">
        <v>1.2202521064245864E-3</v>
      </c>
      <c r="BI30" s="32">
        <v>8.234780414367788E-4</v>
      </c>
      <c r="BJ30" s="32">
        <v>4.9215682898172094E-4</v>
      </c>
      <c r="BK30" s="32">
        <v>2.4513145265112274E-4</v>
      </c>
      <c r="BL30" s="32">
        <v>9.1335674773924811E-5</v>
      </c>
      <c r="BM30" s="32">
        <v>2.0640979644707486E-5</v>
      </c>
      <c r="BN30" s="32">
        <v>1.7927478431384325E-6</v>
      </c>
      <c r="BO30" s="32">
        <v>1.9572394863964297E-8</v>
      </c>
      <c r="BP30" s="32">
        <v>1.5553452282032342E-12</v>
      </c>
      <c r="BQ30" s="32">
        <v>0</v>
      </c>
      <c r="BR30" s="32"/>
      <c r="BS30" s="32">
        <v>0.94295005517117303</v>
      </c>
      <c r="BT30" s="32">
        <v>0.95041822385206132</v>
      </c>
      <c r="BU30" s="32">
        <v>0.95736560799788373</v>
      </c>
      <c r="BV30" s="32">
        <v>0.96376448141491333</v>
      </c>
      <c r="BW30" s="32">
        <v>0.96963148877450867</v>
      </c>
      <c r="BX30" s="32">
        <v>0.97504507967180332</v>
      </c>
      <c r="BY30" s="32">
        <v>0.98014750307803911</v>
      </c>
      <c r="BZ30" s="32">
        <v>0.98510823433901995</v>
      </c>
      <c r="CA30" s="32">
        <v>0.99004980054331804</v>
      </c>
      <c r="CB30" s="32">
        <v>0.99501247908687107</v>
      </c>
      <c r="CC30" s="32">
        <v>1</v>
      </c>
      <c r="CD30" s="32"/>
      <c r="CE30" s="32">
        <v>-1.8725719532092233E-3</v>
      </c>
      <c r="CF30" s="32">
        <v>-1.3948707998172605E-3</v>
      </c>
      <c r="CG30" s="32">
        <v>-9.5787646896428047E-4</v>
      </c>
      <c r="CH30" s="32">
        <v>-5.8538985335876426E-4</v>
      </c>
      <c r="CI30" s="32">
        <v>-3.0029137604764555E-4</v>
      </c>
      <c r="CJ30" s="32">
        <v>-1.165314684006824E-4</v>
      </c>
      <c r="CK30" s="32">
        <v>-2.7941836620859473E-5</v>
      </c>
      <c r="CL30" s="32">
        <v>-2.6606998400069415E-6</v>
      </c>
      <c r="CM30" s="32">
        <v>-3.3690547796005887E-8</v>
      </c>
      <c r="CN30" s="32">
        <v>-3.3048008774017035E-12</v>
      </c>
      <c r="CO30" s="32">
        <v>0</v>
      </c>
      <c r="CP30" s="32"/>
      <c r="CQ30" s="32">
        <v>7.1174091518865926E-3</v>
      </c>
      <c r="CR30" s="32">
        <v>4.754019361475138E-3</v>
      </c>
      <c r="CS30" s="32">
        <v>2.8779177276748694E-3</v>
      </c>
      <c r="CT30" s="32">
        <v>1.5170754234884608E-3</v>
      </c>
      <c r="CU30" s="32">
        <v>6.5223502530006991E-4</v>
      </c>
      <c r="CV30" s="32">
        <v>2.0384039921949221E-4</v>
      </c>
      <c r="CW30" s="32">
        <v>3.7124950991608174E-5</v>
      </c>
      <c r="CX30" s="32">
        <v>2.4530318270635952E-6</v>
      </c>
      <c r="CY30" s="32">
        <v>1.8892325149873986E-8</v>
      </c>
      <c r="CZ30" s="32">
        <v>1.0106969773341296E-12</v>
      </c>
      <c r="DA30" s="32">
        <v>0</v>
      </c>
      <c r="DB30" s="32"/>
      <c r="DC30" s="32">
        <v>1.6262132031208644E-3</v>
      </c>
      <c r="DD30" s="32">
        <v>1.2037281869262003E-3</v>
      </c>
      <c r="DE30" s="32">
        <v>8.1704709597499683E-4</v>
      </c>
      <c r="DF30" s="32">
        <v>4.9025017438461603E-4</v>
      </c>
      <c r="DG30" s="32">
        <v>2.4475312631757327E-4</v>
      </c>
      <c r="DH30" s="32">
        <v>9.1295408063656757E-5</v>
      </c>
      <c r="DI30" s="32">
        <v>2.063943836305961E-5</v>
      </c>
      <c r="DJ30" s="32">
        <v>1.7927378262900154E-6</v>
      </c>
      <c r="DK30" s="32">
        <v>1.9572392120651708E-8</v>
      </c>
      <c r="DL30" s="32">
        <v>1.5553452258348449E-12</v>
      </c>
      <c r="DM30" s="32">
        <v>0</v>
      </c>
      <c r="DN30" s="32"/>
      <c r="DO30" s="32">
        <v>5.4126367234541652E-2</v>
      </c>
      <c r="DP30" s="32">
        <v>3.2991959513939129E-2</v>
      </c>
      <c r="DQ30" s="32">
        <v>1.8050751649591228E-2</v>
      </c>
      <c r="DR30" s="32">
        <v>8.4981270080855022E-3</v>
      </c>
      <c r="DS30" s="32">
        <v>3.2144686832286406E-3</v>
      </c>
      <c r="DT30" s="32">
        <v>8.6703863223838761E-4</v>
      </c>
      <c r="DU30" s="32">
        <v>1.3295916694190565E-4</v>
      </c>
      <c r="DV30" s="32">
        <v>7.1787074297926824E-6</v>
      </c>
      <c r="DW30" s="32">
        <v>4.4076845414822288E-8</v>
      </c>
      <c r="DX30" s="32">
        <v>1.9080861046187826E-12</v>
      </c>
      <c r="DY30" s="32">
        <v>0</v>
      </c>
      <c r="DZ30" s="32"/>
      <c r="EA30" s="32">
        <v>1.3637293158273386E-2</v>
      </c>
      <c r="EB30" s="32">
        <v>9.134941733547652E-3</v>
      </c>
      <c r="EC30" s="32">
        <v>5.5561431769206729E-3</v>
      </c>
      <c r="ED30" s="32">
        <v>2.9512905442628059E-3</v>
      </c>
      <c r="EE30" s="32">
        <v>1.2844981746713822E-3</v>
      </c>
      <c r="EF30" s="32">
        <v>4.0955522339846567E-4</v>
      </c>
      <c r="EG30" s="32">
        <v>7.7155207605721394E-5</v>
      </c>
      <c r="EH30" s="32">
        <v>5.4131216890163419E-6</v>
      </c>
      <c r="EI30" s="32">
        <v>4.6494105899188872E-8</v>
      </c>
      <c r="EJ30" s="32">
        <v>2.9537234031637922E-12</v>
      </c>
      <c r="EK30" s="32">
        <v>0</v>
      </c>
      <c r="EL30" s="32"/>
      <c r="EM30" s="32">
        <v>28.48275633806071</v>
      </c>
      <c r="EN30" s="32">
        <v>28.646932468591402</v>
      </c>
      <c r="EO30" s="32">
        <v>28.805632398900162</v>
      </c>
      <c r="EP30" s="32">
        <v>28.959664339596113</v>
      </c>
      <c r="EQ30" s="32">
        <v>29.110151519576007</v>
      </c>
      <c r="ER30" s="32">
        <v>29.258430306978397</v>
      </c>
      <c r="ES30" s="32">
        <v>29.405827227783128</v>
      </c>
      <c r="ET30" s="32">
        <v>29.553351000148943</v>
      </c>
      <c r="EU30" s="32">
        <v>29.701494962210329</v>
      </c>
      <c r="EV30" s="32">
        <v>29.850374372669112</v>
      </c>
      <c r="EW30" s="32">
        <v>30</v>
      </c>
      <c r="EX30" s="32"/>
      <c r="EY30" s="32">
        <v>-1.3637293158293318E-2</v>
      </c>
      <c r="EZ30" s="32">
        <v>-9.1349417335671035E-3</v>
      </c>
      <c r="FA30" s="32">
        <v>-5.5561431769355352E-3</v>
      </c>
      <c r="FB30" s="32">
        <v>-2.9512905442796722E-3</v>
      </c>
      <c r="FC30" s="32">
        <v>-1.2844981746837902E-3</v>
      </c>
      <c r="FD30" s="32">
        <v>-4.0955522341157291E-4</v>
      </c>
      <c r="FE30" s="32">
        <v>-7.7155207614865162E-5</v>
      </c>
      <c r="FF30" s="32">
        <v>-5.4131216948860583E-6</v>
      </c>
      <c r="FG30" s="32">
        <v>-4.6494106342720443E-8</v>
      </c>
      <c r="FH30" s="32">
        <v>-2.9540814239226165E-12</v>
      </c>
      <c r="FI30" s="32">
        <v>0</v>
      </c>
      <c r="FJ30" s="32"/>
      <c r="FK30" s="32">
        <v>35.178367480081427</v>
      </c>
      <c r="FL30" s="32">
        <v>35.633234918714855</v>
      </c>
      <c r="FM30" s="32">
        <v>36.097146254641245</v>
      </c>
      <c r="FN30" s="32">
        <v>36.569073976457567</v>
      </c>
      <c r="FO30" s="32">
        <v>37.047772745420446</v>
      </c>
      <c r="FP30" s="32">
        <v>37.531858559296417</v>
      </c>
      <c r="FQ30" s="32">
        <v>38.020000258200994</v>
      </c>
      <c r="FR30" s="32">
        <v>38.511201108265318</v>
      </c>
      <c r="FS30" s="32">
        <v>39.004983398367536</v>
      </c>
      <c r="FT30" s="32">
        <v>39.50124790890537</v>
      </c>
      <c r="FU30" s="32">
        <v>40</v>
      </c>
      <c r="FV30" s="32"/>
      <c r="FW30" s="32">
        <v>-0.98590835954849965</v>
      </c>
      <c r="FX30" s="32">
        <v>-0.99067387601196089</v>
      </c>
      <c r="FY30" s="32">
        <v>-0.99437835039894651</v>
      </c>
      <c r="FZ30" s="32">
        <v>-0.99703189338321252</v>
      </c>
      <c r="GA30" s="32">
        <v>-0.99871267305750422</v>
      </c>
      <c r="GB30" s="32">
        <v>-0.99959019628014545</v>
      </c>
      <c r="GC30" s="32">
        <v>-0.99992283719396724</v>
      </c>
      <c r="GD30" s="32">
        <v>-0.99999458684015607</v>
      </c>
      <c r="GE30" s="32">
        <v>-0.99999995350589188</v>
      </c>
      <c r="GF30" s="32">
        <v>-0.99999999999704769</v>
      </c>
      <c r="GG30" s="32">
        <v>-1</v>
      </c>
      <c r="GH30" s="32"/>
      <c r="GI30" s="32">
        <v>4.301494426493653E-2</v>
      </c>
      <c r="GJ30" s="32">
        <v>2.7482243192748983E-2</v>
      </c>
      <c r="GK30" s="32">
        <v>1.5729231880464805E-2</v>
      </c>
      <c r="GL30" s="32">
        <v>7.7192019552818243E-3</v>
      </c>
      <c r="GM30" s="32">
        <v>3.0270243471863844E-3</v>
      </c>
      <c r="GN30" s="32">
        <v>8.3998843469100493E-4</v>
      </c>
      <c r="GO30" s="32">
        <v>1.3127406859775447E-4</v>
      </c>
      <c r="GP30" s="32">
        <v>7.1550024172937958E-6</v>
      </c>
      <c r="GQ30" s="32">
        <v>4.4056778036682116E-8</v>
      </c>
      <c r="GR30" s="32">
        <v>1.9080169152744769E-12</v>
      </c>
      <c r="GS30" s="32">
        <v>0</v>
      </c>
      <c r="GT30" s="32"/>
      <c r="GU30" s="32">
        <v>1.0322720734983675E-2</v>
      </c>
      <c r="GV30" s="32">
        <v>7.3172518445648836E-3</v>
      </c>
      <c r="GW30" s="32">
        <v>4.6989558871259373E-3</v>
      </c>
      <c r="GX30" s="32">
        <v>2.6245074149936209E-3</v>
      </c>
      <c r="GY30" s="32">
        <v>1.1933824346842439E-3</v>
      </c>
      <c r="GZ30" s="32">
        <v>3.9391777949022332E-4</v>
      </c>
      <c r="HA30" s="32">
        <v>7.5955294596125028E-5</v>
      </c>
      <c r="HB30" s="32">
        <v>5.3913776279861505E-6</v>
      </c>
      <c r="HC30" s="32">
        <v>4.6469377746968533E-8</v>
      </c>
      <c r="HD30" s="32">
        <v>2.9536080587014215E-12</v>
      </c>
      <c r="HE30" s="32">
        <v>0</v>
      </c>
    </row>
    <row r="31" spans="17:213" ht="20.350000000000001" customHeight="1" x14ac:dyDescent="0.45">
      <c r="W31" s="32">
        <v>16.981463564206535</v>
      </c>
      <c r="X31" s="32">
        <v>17.145570529487799</v>
      </c>
      <c r="Y31" s="32">
        <v>17.32357176114586</v>
      </c>
      <c r="Z31" s="32">
        <v>17.519310484794072</v>
      </c>
      <c r="AA31" s="32">
        <v>17.738048806476527</v>
      </c>
      <c r="AB31" s="32">
        <v>17.987060361021697</v>
      </c>
      <c r="AC31" s="32">
        <v>18.276347879205002</v>
      </c>
      <c r="AD31" s="32">
        <v>18.618965656111829</v>
      </c>
      <c r="AE31" s="32">
        <v>19.028231144143511</v>
      </c>
      <c r="AF31" s="32">
        <v>19.501780086734435</v>
      </c>
      <c r="AG31" s="32">
        <v>20</v>
      </c>
      <c r="AH31" s="32"/>
      <c r="AI31" s="32">
        <v>-0.77811140704232962</v>
      </c>
      <c r="AJ31" s="32">
        <v>-0.80069453663196555</v>
      </c>
      <c r="AK31" s="32">
        <v>-0.82494435621242701</v>
      </c>
      <c r="AL31" s="32">
        <v>-0.85097366515183204</v>
      </c>
      <c r="AM31" s="32">
        <v>-0.8788009918887898</v>
      </c>
      <c r="AN31" s="32">
        <v>-0.90820611074152602</v>
      </c>
      <c r="AO31" s="32">
        <v>-0.93840060698570937</v>
      </c>
      <c r="AP31" s="32">
        <v>-0.96728944127872829</v>
      </c>
      <c r="AQ31" s="32">
        <v>-0.99008058148559108</v>
      </c>
      <c r="AR31" s="32">
        <v>-0.99959838422851988</v>
      </c>
      <c r="AS31" s="32">
        <v>-1</v>
      </c>
      <c r="AT31" s="32"/>
      <c r="AU31" s="32">
        <v>0.15298662000946245</v>
      </c>
      <c r="AV31" s="32">
        <v>0.13810394172091223</v>
      </c>
      <c r="AW31" s="32">
        <v>0.12183546042145271</v>
      </c>
      <c r="AX31" s="32">
        <v>0.10408036620865245</v>
      </c>
      <c r="AY31" s="32">
        <v>8.4812520263671906E-2</v>
      </c>
      <c r="AZ31" s="32">
        <v>6.4196163344289708E-2</v>
      </c>
      <c r="BA31" s="32">
        <v>4.2846532214547879E-2</v>
      </c>
      <c r="BB31" s="32">
        <v>2.2399201406669171E-2</v>
      </c>
      <c r="BC31" s="32">
        <v>6.5092312072136584E-3</v>
      </c>
      <c r="BD31" s="32">
        <v>2.2853637092008726E-4</v>
      </c>
      <c r="BE31" s="32">
        <v>0</v>
      </c>
      <c r="BF31" s="32"/>
      <c r="BG31" s="32">
        <v>1.4510872627284524E-2</v>
      </c>
      <c r="BH31" s="32">
        <v>1.4315566824350548E-2</v>
      </c>
      <c r="BI31" s="32">
        <v>1.395631613855175E-2</v>
      </c>
      <c r="BJ31" s="32">
        <v>1.3364196172789181E-2</v>
      </c>
      <c r="BK31" s="32">
        <v>1.2439081891219589E-2</v>
      </c>
      <c r="BL31" s="32">
        <v>1.1038057530217363E-2</v>
      </c>
      <c r="BM31" s="32">
        <v>8.9731337824692434E-3</v>
      </c>
      <c r="BN31" s="32">
        <v>6.0745098008450973E-3</v>
      </c>
      <c r="BO31" s="32">
        <v>2.5590716502907835E-3</v>
      </c>
      <c r="BP31" s="32">
        <v>1.6634645934395761E-4</v>
      </c>
      <c r="BQ31" s="32">
        <v>0</v>
      </c>
      <c r="BR31" s="32"/>
      <c r="BS31" s="32">
        <v>0.78634413826357041</v>
      </c>
      <c r="BT31" s="32">
        <v>0.80611865917045189</v>
      </c>
      <c r="BU31" s="32">
        <v>0.82743038454231876</v>
      </c>
      <c r="BV31" s="32">
        <v>0.85043611434696642</v>
      </c>
      <c r="BW31" s="32">
        <v>0.87524466563109959</v>
      </c>
      <c r="BX31" s="32">
        <v>0.90181272915960831</v>
      </c>
      <c r="BY31" s="32">
        <v>0.92969128218795904</v>
      </c>
      <c r="BZ31" s="32">
        <v>0.95741613962935834</v>
      </c>
      <c r="CA31" s="32">
        <v>0.98122038137090017</v>
      </c>
      <c r="CB31" s="32">
        <v>0.99461930452313785</v>
      </c>
      <c r="CC31" s="32">
        <v>1</v>
      </c>
      <c r="CD31" s="32"/>
      <c r="CE31" s="32">
        <v>-1.5228957989400826E-2</v>
      </c>
      <c r="CF31" s="32">
        <v>-1.5117339553474662E-2</v>
      </c>
      <c r="CG31" s="32">
        <v>-1.4852482907811104E-2</v>
      </c>
      <c r="CH31" s="32">
        <v>-1.4364503710053322E-2</v>
      </c>
      <c r="CI31" s="32">
        <v>-1.3548485906996699E-2</v>
      </c>
      <c r="CJ31" s="32">
        <v>-1.2247317528582602E-2</v>
      </c>
      <c r="CK31" s="32">
        <v>-1.0236065096781821E-2</v>
      </c>
      <c r="CL31" s="32">
        <v>-7.255539155570645E-3</v>
      </c>
      <c r="CM31" s="32">
        <v>-3.3466231664464052E-3</v>
      </c>
      <c r="CN31" s="32">
        <v>-2.7716984137426959E-4</v>
      </c>
      <c r="CO31" s="32">
        <v>0</v>
      </c>
      <c r="CP31" s="32"/>
      <c r="CQ31" s="32">
        <v>0.14159294019488611</v>
      </c>
      <c r="CR31" s="32">
        <v>0.13017108125459068</v>
      </c>
      <c r="CS31" s="32">
        <v>0.11676691322992719</v>
      </c>
      <c r="CT31" s="32">
        <v>0.10121253625989222</v>
      </c>
      <c r="CU31" s="32">
        <v>8.3457483569890273E-2</v>
      </c>
      <c r="CV31" s="32">
        <v>6.3714274018811162E-2</v>
      </c>
      <c r="CW31" s="32">
        <v>4.2741154024554015E-2</v>
      </c>
      <c r="CX31" s="32">
        <v>2.2390116009090119E-2</v>
      </c>
      <c r="CY31" s="32">
        <v>6.5091303240159722E-3</v>
      </c>
      <c r="CZ31" s="32">
        <v>2.2853636327527376E-4</v>
      </c>
      <c r="DA31" s="32">
        <v>0</v>
      </c>
      <c r="DB31" s="32"/>
      <c r="DC31" s="32">
        <v>1.2656322787687121E-2</v>
      </c>
      <c r="DD31" s="32">
        <v>1.2889198772865852E-2</v>
      </c>
      <c r="DE31" s="32">
        <v>1.2937268050717703E-2</v>
      </c>
      <c r="DF31" s="32">
        <v>1.2709429099861912E-2</v>
      </c>
      <c r="DG31" s="32">
        <v>1.2080570520114874E-2</v>
      </c>
      <c r="DH31" s="32">
        <v>1.0886181986669744E-2</v>
      </c>
      <c r="DI31" s="32">
        <v>8.9319900399413774E-3</v>
      </c>
      <c r="DJ31" s="32">
        <v>6.0698545495786287E-3</v>
      </c>
      <c r="DK31" s="32">
        <v>2.5589983807547474E-3</v>
      </c>
      <c r="DL31" s="32">
        <v>1.6634645114278017E-4</v>
      </c>
      <c r="DM31" s="32">
        <v>0</v>
      </c>
      <c r="DN31" s="32"/>
      <c r="DO31" s="32">
        <v>1.7550402480282865</v>
      </c>
      <c r="DP31" s="32">
        <v>1.4807989038461722</v>
      </c>
      <c r="DQ31" s="32">
        <v>1.2076141590739746</v>
      </c>
      <c r="DR31" s="32">
        <v>0.94041650786527642</v>
      </c>
      <c r="DS31" s="32">
        <v>0.6860607351655893</v>
      </c>
      <c r="DT31" s="32">
        <v>0.45386913860774097</v>
      </c>
      <c r="DU31" s="32">
        <v>0.25609703632101566</v>
      </c>
      <c r="DV31" s="32">
        <v>0.10774696425238205</v>
      </c>
      <c r="DW31" s="32">
        <v>2.324760001752443E-2</v>
      </c>
      <c r="DX31" s="32">
        <v>5.3217782138055417E-4</v>
      </c>
      <c r="DY31" s="32">
        <v>0</v>
      </c>
      <c r="DZ31" s="32"/>
      <c r="EA31" s="32">
        <v>0.20294583676850164</v>
      </c>
      <c r="EB31" s="32">
        <v>0.18626085409598836</v>
      </c>
      <c r="EC31" s="32">
        <v>0.16682159709739908</v>
      </c>
      <c r="ED31" s="32">
        <v>0.14443067407250171</v>
      </c>
      <c r="EE31" s="32">
        <v>0.11906160957485779</v>
      </c>
      <c r="EF31" s="32">
        <v>9.104798809238196E-2</v>
      </c>
      <c r="EG31" s="32">
        <v>6.1440073878403653E-2</v>
      </c>
      <c r="EH31" s="32">
        <v>3.2697235528524903E-2</v>
      </c>
      <c r="EI31" s="32">
        <v>9.9192762249280912E-3</v>
      </c>
      <c r="EJ31" s="32">
        <v>4.0161576111000111E-4</v>
      </c>
      <c r="EK31" s="32">
        <v>0</v>
      </c>
      <c r="EL31" s="32"/>
      <c r="EM31" s="32">
        <v>26.781842457266844</v>
      </c>
      <c r="EN31" s="32">
        <v>27.199125524259042</v>
      </c>
      <c r="EO31" s="32">
        <v>27.616068991475661</v>
      </c>
      <c r="EP31" s="32">
        <v>28.027745958738812</v>
      </c>
      <c r="EQ31" s="32">
        <v>28.427305253093564</v>
      </c>
      <c r="ER31" s="32">
        <v>28.805428207002826</v>
      </c>
      <c r="ES31" s="32">
        <v>29.149863150629017</v>
      </c>
      <c r="ET31" s="32">
        <v>29.445611214603964</v>
      </c>
      <c r="EU31" s="32">
        <v>29.678247406269648</v>
      </c>
      <c r="EV31" s="32">
        <v>29.849842194849654</v>
      </c>
      <c r="EW31" s="32">
        <v>30</v>
      </c>
      <c r="EX31" s="32"/>
      <c r="EY31" s="32">
        <v>-0.20294583676849065</v>
      </c>
      <c r="EZ31" s="32">
        <v>-0.18626085409598403</v>
      </c>
      <c r="FA31" s="32">
        <v>-0.1668215970973943</v>
      </c>
      <c r="FB31" s="32">
        <v>-0.14443067407250076</v>
      </c>
      <c r="FC31" s="32">
        <v>-0.1190616095748549</v>
      </c>
      <c r="FD31" s="32">
        <v>-9.1047988092379128E-2</v>
      </c>
      <c r="FE31" s="32">
        <v>-6.1440073878397783E-2</v>
      </c>
      <c r="FF31" s="32">
        <v>-3.2697235528519997E-2</v>
      </c>
      <c r="FG31" s="32">
        <v>-9.9192762249256106E-3</v>
      </c>
      <c r="FH31" s="32">
        <v>-4.016157611061999E-4</v>
      </c>
      <c r="FI31" s="32">
        <v>0</v>
      </c>
      <c r="FJ31" s="32"/>
      <c r="FK31" s="32">
        <v>17.084937422696331</v>
      </c>
      <c r="FL31" s="32">
        <v>17.210592279894623</v>
      </c>
      <c r="FM31" s="32">
        <v>17.360585200046891</v>
      </c>
      <c r="FN31" s="32">
        <v>17.537662867037042</v>
      </c>
      <c r="FO31" s="32">
        <v>17.745483581044063</v>
      </c>
      <c r="FP31" s="32">
        <v>17.989260431334475</v>
      </c>
      <c r="FQ31" s="32">
        <v>18.276731432254763</v>
      </c>
      <c r="FR31" s="32">
        <v>18.618990418449826</v>
      </c>
      <c r="FS31" s="32">
        <v>19.028231333978773</v>
      </c>
      <c r="FT31" s="32">
        <v>19.501780086743988</v>
      </c>
      <c r="FU31" s="32">
        <v>20</v>
      </c>
      <c r="FV31" s="32"/>
      <c r="FW31" s="32">
        <v>-0.75917087538049621</v>
      </c>
      <c r="FX31" s="32">
        <v>-0.78765054244193955</v>
      </c>
      <c r="FY31" s="32">
        <v>-0.81671043588751857</v>
      </c>
      <c r="FZ31" s="32">
        <v>-0.84637802152932906</v>
      </c>
      <c r="GA31" s="32">
        <v>-0.87666359463067067</v>
      </c>
      <c r="GB31" s="32">
        <v>-0.90746020961404206</v>
      </c>
      <c r="GC31" s="32">
        <v>-0.93824128785011318</v>
      </c>
      <c r="GD31" s="32">
        <v>-0.96727611808598901</v>
      </c>
      <c r="GE31" s="32">
        <v>-0.99008043919611488</v>
      </c>
      <c r="GF31" s="32">
        <v>-0.99959838421815306</v>
      </c>
      <c r="GG31" s="32">
        <v>-1</v>
      </c>
      <c r="GH31" s="32"/>
      <c r="GI31" s="32">
        <v>1.0199250567718523</v>
      </c>
      <c r="GJ31" s="32">
        <v>0.92192706640678057</v>
      </c>
      <c r="GK31" s="32">
        <v>0.80837936456832959</v>
      </c>
      <c r="GL31" s="32">
        <v>0.67899158756369082</v>
      </c>
      <c r="GM31" s="32">
        <v>0.53533153055447213</v>
      </c>
      <c r="GN31" s="32">
        <v>0.38253252260151399</v>
      </c>
      <c r="GO31" s="32">
        <v>0.23187553529407401</v>
      </c>
      <c r="GP31" s="32">
        <v>0.10335936891460669</v>
      </c>
      <c r="GQ31" s="32">
        <v>2.305551746342269E-2</v>
      </c>
      <c r="GR31" s="32">
        <v>5.320268420935686E-4</v>
      </c>
      <c r="GS31" s="32">
        <v>0</v>
      </c>
      <c r="GT31" s="32"/>
      <c r="GU31" s="32">
        <v>9.7645480140909735E-2</v>
      </c>
      <c r="GV31" s="32">
        <v>9.8228225206384912E-2</v>
      </c>
      <c r="GW31" s="32">
        <v>9.6878190895128113E-2</v>
      </c>
      <c r="GX31" s="32">
        <v>9.2753145728864839E-2</v>
      </c>
      <c r="GY31" s="32">
        <v>8.4803069816694054E-2</v>
      </c>
      <c r="GZ31" s="32">
        <v>7.191996552480559E-2</v>
      </c>
      <c r="HA31" s="32">
        <v>5.3487845355262464E-2</v>
      </c>
      <c r="HB31" s="32">
        <v>3.0828294530372086E-2</v>
      </c>
      <c r="HC31" s="32">
        <v>9.8024429609053845E-3</v>
      </c>
      <c r="HD31" s="32">
        <v>4.0146870103015112E-4</v>
      </c>
      <c r="HE31" s="32">
        <v>0</v>
      </c>
    </row>
    <row r="32" spans="17:213" ht="20.350000000000001" customHeight="1" x14ac:dyDescent="0.45">
      <c r="W32" s="32">
        <v>5.5710796215290719</v>
      </c>
      <c r="X32" s="32">
        <v>5.3953285581151844</v>
      </c>
      <c r="Y32" s="32">
        <v>5.1974689949773412</v>
      </c>
      <c r="Z32" s="32">
        <v>4.9729616611881466</v>
      </c>
      <c r="AA32" s="32">
        <v>4.7155639074321458</v>
      </c>
      <c r="AB32" s="32">
        <v>4.4162768324912811</v>
      </c>
      <c r="AC32" s="32">
        <v>4.061271283660643</v>
      </c>
      <c r="AD32" s="32">
        <v>3.6272364195512861</v>
      </c>
      <c r="AE32" s="32">
        <v>3.0686498846655832</v>
      </c>
      <c r="AF32" s="32">
        <v>2.2674195072783445</v>
      </c>
      <c r="AG32" s="32">
        <v>0</v>
      </c>
      <c r="AH32" s="32"/>
      <c r="AI32" s="32">
        <v>-0.36323126160992114</v>
      </c>
      <c r="AJ32" s="32">
        <v>-0.36999570051858832</v>
      </c>
      <c r="AK32" s="32">
        <v>-0.37719199003331916</v>
      </c>
      <c r="AL32" s="32">
        <v>-0.38490164664968374</v>
      </c>
      <c r="AM32" s="32">
        <v>-0.39323641343888349</v>
      </c>
      <c r="AN32" s="32">
        <v>-0.40235687402279341</v>
      </c>
      <c r="AO32" s="32">
        <v>-0.41250909097731125</v>
      </c>
      <c r="AP32" s="32">
        <v>-0.42410672525221282</v>
      </c>
      <c r="AQ32" s="32">
        <v>-0.43795555475548431</v>
      </c>
      <c r="AR32" s="32">
        <v>-0.45612388861567477</v>
      </c>
      <c r="AS32" s="32">
        <v>-0.5</v>
      </c>
      <c r="AT32" s="32"/>
      <c r="AU32" s="32">
        <v>0.52294790670803959</v>
      </c>
      <c r="AV32" s="32">
        <v>0.52214332153368748</v>
      </c>
      <c r="AW32" s="32">
        <v>0.52105207455277114</v>
      </c>
      <c r="AX32" s="32">
        <v>0.51960395129315995</v>
      </c>
      <c r="AY32" s="32">
        <v>0.51769637075680019</v>
      </c>
      <c r="AZ32" s="32">
        <v>0.51516978837620631</v>
      </c>
      <c r="BA32" s="32">
        <v>0.51175372599907432</v>
      </c>
      <c r="BB32" s="32">
        <v>0.50692771303669226</v>
      </c>
      <c r="BC32" s="32">
        <v>0.49945768923692624</v>
      </c>
      <c r="BD32" s="32">
        <v>0.48425723067691245</v>
      </c>
      <c r="BE32" s="32">
        <v>0</v>
      </c>
      <c r="BF32" s="32"/>
      <c r="BG32" s="32">
        <v>1.8827730791041608E-2</v>
      </c>
      <c r="BH32" s="32">
        <v>1.9967318046864302E-2</v>
      </c>
      <c r="BI32" s="32">
        <v>2.1307598254725973E-2</v>
      </c>
      <c r="BJ32" s="32">
        <v>2.2917245720041668E-2</v>
      </c>
      <c r="BK32" s="32">
        <v>2.4903346273832838E-2</v>
      </c>
      <c r="BL32" s="32">
        <v>2.7444394092425162E-2</v>
      </c>
      <c r="BM32" s="32">
        <v>3.0866242224731388E-2</v>
      </c>
      <c r="BN32" s="32">
        <v>3.5847933769705381E-2</v>
      </c>
      <c r="BO32" s="32">
        <v>4.4141712378544112E-2</v>
      </c>
      <c r="BP32" s="32">
        <v>6.2757294061698471E-2</v>
      </c>
      <c r="BQ32" s="32">
        <v>0.5</v>
      </c>
      <c r="BR32" s="32"/>
      <c r="BS32" s="32">
        <v>0.40951367807896893</v>
      </c>
      <c r="BT32" s="32">
        <v>0.41394896037691181</v>
      </c>
      <c r="BU32" s="32">
        <v>0.41849418826067558</v>
      </c>
      <c r="BV32" s="32">
        <v>0.42315092623109729</v>
      </c>
      <c r="BW32" s="32">
        <v>0.42791456195402772</v>
      </c>
      <c r="BX32" s="32">
        <v>0.43276571140903586</v>
      </c>
      <c r="BY32" s="32">
        <v>0.43764765726587856</v>
      </c>
      <c r="BZ32" s="32">
        <v>0.44239744763491823</v>
      </c>
      <c r="CA32" s="32">
        <v>0.44647366680394746</v>
      </c>
      <c r="CB32" s="32">
        <v>0.44660561028903001</v>
      </c>
      <c r="CC32" s="32">
        <v>0</v>
      </c>
      <c r="CD32" s="32"/>
      <c r="CE32" s="32">
        <v>-1.8687308828043203E-2</v>
      </c>
      <c r="CF32" s="32">
        <v>-1.9818427841434533E-2</v>
      </c>
      <c r="CG32" s="32">
        <v>-2.114875546390918E-2</v>
      </c>
      <c r="CH32" s="32">
        <v>-2.2746460784371397E-2</v>
      </c>
      <c r="CI32" s="32">
        <v>-2.4717843592709038E-2</v>
      </c>
      <c r="CJ32" s="32">
        <v>-2.7240091771858127E-2</v>
      </c>
      <c r="CK32" s="32">
        <v>-3.0636683630230588E-2</v>
      </c>
      <c r="CL32" s="32">
        <v>-3.5581740745438822E-2</v>
      </c>
      <c r="CM32" s="32">
        <v>-4.3814370521533502E-2</v>
      </c>
      <c r="CN32" s="32">
        <v>-6.2233745394984497E-2</v>
      </c>
      <c r="CO32" s="32">
        <v>-0.5</v>
      </c>
      <c r="CP32" s="32"/>
      <c r="CQ32" s="32">
        <v>0.40255842903307654</v>
      </c>
      <c r="CR32" s="32">
        <v>0.41588308644712879</v>
      </c>
      <c r="CS32" s="32">
        <v>0.42988329247848339</v>
      </c>
      <c r="CT32" s="32">
        <v>0.44443249998686735</v>
      </c>
      <c r="CU32" s="32">
        <v>0.45923846902624782</v>
      </c>
      <c r="CV32" s="32">
        <v>0.47369516936011297</v>
      </c>
      <c r="CW32" s="32">
        <v>0.48660555733349981</v>
      </c>
      <c r="CX32" s="32">
        <v>0.49570176341323863</v>
      </c>
      <c r="CY32" s="32">
        <v>0.49706454607907857</v>
      </c>
      <c r="CZ32" s="32">
        <v>0.48421974554678743</v>
      </c>
      <c r="DA32" s="32">
        <v>0</v>
      </c>
      <c r="DB32" s="32"/>
      <c r="DC32" s="32">
        <v>8.953197661122847E-3</v>
      </c>
      <c r="DD32" s="32">
        <v>1.0423279196462187E-2</v>
      </c>
      <c r="DE32" s="32">
        <v>1.2238347051446691E-2</v>
      </c>
      <c r="DF32" s="32">
        <v>1.4514058322743939E-2</v>
      </c>
      <c r="DG32" s="32">
        <v>1.7417760152252298E-2</v>
      </c>
      <c r="DH32" s="32">
        <v>2.1197793590961578E-2</v>
      </c>
      <c r="DI32" s="32">
        <v>2.6235305536718823E-2</v>
      </c>
      <c r="DJ32" s="32">
        <v>3.3159256703545664E-2</v>
      </c>
      <c r="DK32" s="32">
        <v>4.3307739581254806E-2</v>
      </c>
      <c r="DL32" s="32">
        <v>6.2733739748578793E-2</v>
      </c>
      <c r="DM32" s="32">
        <v>0.5</v>
      </c>
      <c r="DN32" s="32"/>
      <c r="DO32" s="32">
        <v>8.8089191523195911</v>
      </c>
      <c r="DP32" s="32">
        <v>8.4745476686394241</v>
      </c>
      <c r="DQ32" s="32">
        <v>8.0953957092675903</v>
      </c>
      <c r="DR32" s="32">
        <v>7.6620091816856197</v>
      </c>
      <c r="DS32" s="32">
        <v>7.161982172773139</v>
      </c>
      <c r="DT32" s="32">
        <v>6.5787700034862411</v>
      </c>
      <c r="DU32" s="32">
        <v>5.8899481419619413</v>
      </c>
      <c r="DV32" s="32">
        <v>5.0644728157434642</v>
      </c>
      <c r="DW32" s="32">
        <v>4.0562454994920989</v>
      </c>
      <c r="DX32" s="32">
        <v>2.7661092874987596</v>
      </c>
      <c r="DY32" s="32">
        <v>0</v>
      </c>
      <c r="DZ32" s="32"/>
      <c r="EA32" s="32">
        <v>0.46869716965386754</v>
      </c>
      <c r="EB32" s="32">
        <v>0.48330344482275311</v>
      </c>
      <c r="EC32" s="32">
        <v>0.49845295500282338</v>
      </c>
      <c r="ED32" s="32">
        <v>0.51391926360011242</v>
      </c>
      <c r="EE32" s="32">
        <v>0.52925430768863002</v>
      </c>
      <c r="EF32" s="32">
        <v>0.54361073968555296</v>
      </c>
      <c r="EG32" s="32">
        <v>0.55543220205543165</v>
      </c>
      <c r="EH32" s="32">
        <v>0.56199435954236021</v>
      </c>
      <c r="EI32" s="32">
        <v>0.5592123133701199</v>
      </c>
      <c r="EJ32" s="32">
        <v>0.54383520708005095</v>
      </c>
      <c r="EK32" s="32">
        <v>0.5</v>
      </c>
      <c r="EL32" s="32"/>
      <c r="EM32" s="32">
        <v>19.72796355297891</v>
      </c>
      <c r="EN32" s="32">
        <v>20.205376759467242</v>
      </c>
      <c r="EO32" s="32">
        <v>20.728287441282578</v>
      </c>
      <c r="EP32" s="32">
        <v>21.306153284918629</v>
      </c>
      <c r="EQ32" s="32">
        <v>21.951383815486036</v>
      </c>
      <c r="ER32" s="32">
        <v>22.680527342124293</v>
      </c>
      <c r="ES32" s="32">
        <v>23.516012044988017</v>
      </c>
      <c r="ET32" s="32">
        <v>24.4888853631128</v>
      </c>
      <c r="EU32" s="32">
        <v>25.645249506794986</v>
      </c>
      <c r="EV32" s="32">
        <v>27.084265085172195</v>
      </c>
      <c r="EW32" s="32">
        <v>30</v>
      </c>
      <c r="EX32" s="32"/>
      <c r="EY32" s="32">
        <v>-0.46869716965318098</v>
      </c>
      <c r="EZ32" s="32">
        <v>-0.48330344482242182</v>
      </c>
      <c r="FA32" s="32">
        <v>-0.49845295500267994</v>
      </c>
      <c r="FB32" s="32">
        <v>-0.5139192636000498</v>
      </c>
      <c r="FC32" s="32">
        <v>-0.52925430768859627</v>
      </c>
      <c r="FD32" s="32">
        <v>-0.54361073968553164</v>
      </c>
      <c r="FE32" s="32">
        <v>-0.55543220205541211</v>
      </c>
      <c r="FF32" s="32">
        <v>-0.56199435954234467</v>
      </c>
      <c r="FG32" s="32">
        <v>-0.55921231337010724</v>
      </c>
      <c r="FH32" s="32">
        <v>-0.5438352070800434</v>
      </c>
      <c r="FI32" s="32">
        <v>-0.5</v>
      </c>
      <c r="FJ32" s="32"/>
      <c r="FK32" s="32">
        <v>7.2092580015535557</v>
      </c>
      <c r="FL32" s="32">
        <v>6.7159343391066688</v>
      </c>
      <c r="FM32" s="32">
        <v>6.2204539236704388</v>
      </c>
      <c r="FN32" s="32">
        <v>5.7233352486294065</v>
      </c>
      <c r="FO32" s="32">
        <v>5.2245858410102963</v>
      </c>
      <c r="FP32" s="32">
        <v>4.7227918904294741</v>
      </c>
      <c r="FQ32" s="32">
        <v>4.212727113692095</v>
      </c>
      <c r="FR32" s="32">
        <v>3.678806093702097</v>
      </c>
      <c r="FS32" s="32">
        <v>3.0760709155482724</v>
      </c>
      <c r="FT32" s="32">
        <v>2.267481818154411</v>
      </c>
      <c r="FU32" s="32">
        <v>0</v>
      </c>
      <c r="FV32" s="32"/>
      <c r="FW32" s="32">
        <v>-0.19536821592216214</v>
      </c>
      <c r="FX32" s="32">
        <v>-0.22338895073900922</v>
      </c>
      <c r="FY32" s="32">
        <v>-0.25287234501855194</v>
      </c>
      <c r="FZ32" s="32">
        <v>-0.28373287836608041</v>
      </c>
      <c r="GA32" s="32">
        <v>-0.31572920270065374</v>
      </c>
      <c r="GB32" s="32">
        <v>-0.34832471953592803</v>
      </c>
      <c r="GC32" s="32">
        <v>-0.38045039394491464</v>
      </c>
      <c r="GD32" s="32">
        <v>-0.41020781012428498</v>
      </c>
      <c r="GE32" s="32">
        <v>-0.43512342288111538</v>
      </c>
      <c r="GF32" s="32">
        <v>-0.45608298431140204</v>
      </c>
      <c r="GG32" s="32">
        <v>-0.5</v>
      </c>
      <c r="GH32" s="32"/>
      <c r="GI32" s="32">
        <v>3.1574008333850947</v>
      </c>
      <c r="GJ32" s="32">
        <v>3.2609394575273063</v>
      </c>
      <c r="GK32" s="32">
        <v>3.3681488649439397</v>
      </c>
      <c r="GL32" s="32">
        <v>3.4766190681569857</v>
      </c>
      <c r="GM32" s="32">
        <v>3.5812578394113261</v>
      </c>
      <c r="GN32" s="32">
        <v>3.671449066941014</v>
      </c>
      <c r="GO32" s="32">
        <v>3.7245799520620304</v>
      </c>
      <c r="GP32" s="32">
        <v>3.6901148994454034</v>
      </c>
      <c r="GQ32" s="32">
        <v>3.447020764916346</v>
      </c>
      <c r="GR32" s="32">
        <v>2.6848942106597136</v>
      </c>
      <c r="GS32" s="32">
        <v>0</v>
      </c>
      <c r="GT32" s="32"/>
      <c r="GU32" s="32">
        <v>7.7735354317256533E-2</v>
      </c>
      <c r="GV32" s="32">
        <v>9.1039159527781965E-2</v>
      </c>
      <c r="GW32" s="32">
        <v>0.10767689193880803</v>
      </c>
      <c r="GX32" s="32">
        <v>0.12885656736294671</v>
      </c>
      <c r="GY32" s="32">
        <v>0.15636963488045574</v>
      </c>
      <c r="GZ32" s="32">
        <v>0.19292583593884904</v>
      </c>
      <c r="HA32" s="32">
        <v>0.2426405917859622</v>
      </c>
      <c r="HB32" s="32">
        <v>0.31141772851996041</v>
      </c>
      <c r="HC32" s="32">
        <v>0.40490076495619287</v>
      </c>
      <c r="HD32" s="32">
        <v>0.50756752124677074</v>
      </c>
      <c r="HE32" s="32">
        <v>0.5</v>
      </c>
    </row>
    <row r="33" spans="1:213" ht="20.350000000000001" customHeight="1" x14ac:dyDescent="0.45">
      <c r="W33" s="32">
        <v>1.2909233062208021</v>
      </c>
      <c r="X33" s="32">
        <v>1.1400978410235638</v>
      </c>
      <c r="Y33" s="32">
        <v>0.98265553896019242</v>
      </c>
      <c r="Z33" s="32">
        <v>0.81933014651950953</v>
      </c>
      <c r="AA33" s="32">
        <v>0.65167543758750957</v>
      </c>
      <c r="AB33" s="32">
        <v>0.48272207464228117</v>
      </c>
      <c r="AC33" s="32">
        <v>0.31822242675380519</v>
      </c>
      <c r="AD33" s="32">
        <v>0.16901032637671035</v>
      </c>
      <c r="AE33" s="32">
        <v>5.4847103694139449E-2</v>
      </c>
      <c r="AF33" s="32">
        <v>3.2311253321691807E-3</v>
      </c>
      <c r="AG33" s="32">
        <v>0</v>
      </c>
      <c r="AH33" s="32"/>
      <c r="AI33" s="32">
        <v>-0.10354757228632971</v>
      </c>
      <c r="AJ33" s="32">
        <v>-9.8015490824739704E-2</v>
      </c>
      <c r="AK33" s="32">
        <v>-9.1390925913116428E-2</v>
      </c>
      <c r="AL33" s="32">
        <v>-8.3427205964413387E-2</v>
      </c>
      <c r="AM33" s="32">
        <v>-7.3816832968676138E-2</v>
      </c>
      <c r="AN33" s="32">
        <v>-6.2195552209271587E-2</v>
      </c>
      <c r="AO33" s="32">
        <v>-4.8203147126089446E-2</v>
      </c>
      <c r="AP33" s="32">
        <v>-3.175960727804486E-2</v>
      </c>
      <c r="AQ33" s="32">
        <v>-1.4147381397618775E-2</v>
      </c>
      <c r="AR33" s="32">
        <v>-1.4536137788955881E-3</v>
      </c>
      <c r="AS33" s="32">
        <v>0</v>
      </c>
      <c r="AT33" s="32"/>
      <c r="AU33" s="32">
        <v>0.80865596481673074</v>
      </c>
      <c r="AV33" s="32">
        <v>0.82150026217538707</v>
      </c>
      <c r="AW33" s="32">
        <v>0.83577375781084451</v>
      </c>
      <c r="AX33" s="32">
        <v>0.85178386806517425</v>
      </c>
      <c r="AY33" s="32">
        <v>0.86991542779073094</v>
      </c>
      <c r="AZ33" s="32">
        <v>0.89062943835655384</v>
      </c>
      <c r="BA33" s="32">
        <v>0.91439697834687717</v>
      </c>
      <c r="BB33" s="32">
        <v>0.94137683058885302</v>
      </c>
      <c r="BC33" s="32">
        <v>0.9700878014498453</v>
      </c>
      <c r="BD33" s="32">
        <v>0.9927896293637084</v>
      </c>
      <c r="BE33" s="32">
        <v>1</v>
      </c>
      <c r="BF33" s="32"/>
      <c r="BG33" s="32">
        <v>9.2397008122679369E-3</v>
      </c>
      <c r="BH33" s="32">
        <v>9.3804660273528739E-3</v>
      </c>
      <c r="BI33" s="32">
        <v>9.4786198246848974E-3</v>
      </c>
      <c r="BJ33" s="32">
        <v>9.5040721054669985E-3</v>
      </c>
      <c r="BK33" s="32">
        <v>9.4056601167886167E-3</v>
      </c>
      <c r="BL33" s="32">
        <v>9.093470471442433E-3</v>
      </c>
      <c r="BM33" s="32">
        <v>8.4042204093783823E-3</v>
      </c>
      <c r="BN33" s="32">
        <v>7.0380453262097742E-3</v>
      </c>
      <c r="BO33" s="32">
        <v>4.5100496650421484E-3</v>
      </c>
      <c r="BP33" s="32">
        <v>9.1649161037626881E-4</v>
      </c>
      <c r="BQ33" s="32">
        <v>0</v>
      </c>
      <c r="BR33" s="32"/>
      <c r="BS33" s="32">
        <v>0.13177410325014183</v>
      </c>
      <c r="BT33" s="32">
        <v>0.12356102442137157</v>
      </c>
      <c r="BU33" s="32">
        <v>0.11399999303830728</v>
      </c>
      <c r="BV33" s="32">
        <v>0.10282126778129491</v>
      </c>
      <c r="BW33" s="32">
        <v>8.9702993375081488E-2</v>
      </c>
      <c r="BX33" s="32">
        <v>7.4292753497644859E-2</v>
      </c>
      <c r="BY33" s="32">
        <v>5.6311847093715867E-2</v>
      </c>
      <c r="BZ33" s="32">
        <v>3.5941179789110433E-2</v>
      </c>
      <c r="CA33" s="32">
        <v>1.5161291557282255E-2</v>
      </c>
      <c r="CB33" s="32">
        <v>1.3578594379194463E-3</v>
      </c>
      <c r="CC33" s="32">
        <v>0</v>
      </c>
      <c r="CD33" s="32"/>
      <c r="CE33" s="32">
        <v>-8.7619558019771671E-3</v>
      </c>
      <c r="CF33" s="32">
        <v>-8.8504943285895588E-3</v>
      </c>
      <c r="CG33" s="32">
        <v>-8.8866558956363778E-3</v>
      </c>
      <c r="CH33" s="32">
        <v>-8.8382823770297436E-3</v>
      </c>
      <c r="CI33" s="32">
        <v>-8.6523662910540505E-3</v>
      </c>
      <c r="CJ33" s="32">
        <v>-8.2391051127161524E-3</v>
      </c>
      <c r="CK33" s="32">
        <v>-7.4432301969443136E-3</v>
      </c>
      <c r="CL33" s="32">
        <v>-6.0015251775336186E-3</v>
      </c>
      <c r="CM33" s="32">
        <v>-3.5662636876866473E-3</v>
      </c>
      <c r="CN33" s="32">
        <v>-5.8281250552392745E-4</v>
      </c>
      <c r="CO33" s="32">
        <v>0</v>
      </c>
      <c r="CP33" s="32"/>
      <c r="CQ33" s="32">
        <v>0.4199420585435425</v>
      </c>
      <c r="CR33" s="32">
        <v>0.44131894377910236</v>
      </c>
      <c r="CS33" s="32">
        <v>0.46568531540216523</v>
      </c>
      <c r="CT33" s="32">
        <v>0.49382310985699901</v>
      </c>
      <c r="CU33" s="32">
        <v>0.52682993944192247</v>
      </c>
      <c r="CV33" s="32">
        <v>0.56630037996715565</v>
      </c>
      <c r="CW33" s="32">
        <v>0.61464824070440249</v>
      </c>
      <c r="CX33" s="32">
        <v>0.67572085613590815</v>
      </c>
      <c r="CY33" s="32">
        <v>0.7561524710955676</v>
      </c>
      <c r="CZ33" s="32">
        <v>0.87016162378793938</v>
      </c>
      <c r="DA33" s="32">
        <v>1</v>
      </c>
      <c r="DB33" s="32"/>
      <c r="DC33" s="32">
        <v>-6.1553616038105829E-3</v>
      </c>
      <c r="DD33" s="32">
        <v>-6.8155019433262798E-3</v>
      </c>
      <c r="DE33" s="32">
        <v>-7.6315912403614461E-3</v>
      </c>
      <c r="DF33" s="32">
        <v>-8.6624180031009412E-3</v>
      </c>
      <c r="DG33" s="32">
        <v>-9.9980120402130557E-3</v>
      </c>
      <c r="DH33" s="32">
        <v>-1.1780515970465533E-2</v>
      </c>
      <c r="DI33" s="32">
        <v>-1.423839912502628E-2</v>
      </c>
      <c r="DJ33" s="32">
        <v>-1.772120269895272E-2</v>
      </c>
      <c r="DK33" s="32">
        <v>-2.2519805733629605E-2</v>
      </c>
      <c r="DL33" s="32">
        <v>-2.5864704962904106E-2</v>
      </c>
      <c r="DM33" s="32">
        <v>0</v>
      </c>
      <c r="DN33" s="32"/>
      <c r="DO33" s="32">
        <v>18.186326920828524</v>
      </c>
      <c r="DP33" s="32">
        <v>18.294123414601096</v>
      </c>
      <c r="DQ33" s="32">
        <v>18.412730757098732</v>
      </c>
      <c r="DR33" s="32">
        <v>18.545424957929921</v>
      </c>
      <c r="DS33" s="32">
        <v>18.696851557112748</v>
      </c>
      <c r="DT33" s="32">
        <v>18.873751114019861</v>
      </c>
      <c r="DU33" s="32">
        <v>19.086061348331413</v>
      </c>
      <c r="DV33" s="32">
        <v>19.348146658035077</v>
      </c>
      <c r="DW33" s="32">
        <v>19.676583425656453</v>
      </c>
      <c r="DX33" s="32">
        <v>20.049680616765006</v>
      </c>
      <c r="DY33" s="32">
        <v>20</v>
      </c>
      <c r="DZ33" s="32"/>
      <c r="EA33" s="32">
        <v>0.41652928366042552</v>
      </c>
      <c r="EB33" s="32">
        <v>0.4378252654989101</v>
      </c>
      <c r="EC33" s="32">
        <v>0.46212428195486766</v>
      </c>
      <c r="ED33" s="32">
        <v>0.49022057008602005</v>
      </c>
      <c r="EE33" s="32">
        <v>0.52323636578464594</v>
      </c>
      <c r="EF33" s="32">
        <v>0.56281643972160822</v>
      </c>
      <c r="EG33" s="32">
        <v>0.61148376500339907</v>
      </c>
      <c r="EH33" s="32">
        <v>0.67334645170430463</v>
      </c>
      <c r="EI33" s="32">
        <v>0.7557273419352164</v>
      </c>
      <c r="EJ33" s="32">
        <v>0.87435894943205206</v>
      </c>
      <c r="EK33" s="32">
        <v>1</v>
      </c>
      <c r="EL33" s="32"/>
      <c r="EM33" s="32">
        <v>10.35055578455456</v>
      </c>
      <c r="EN33" s="32">
        <v>10.385801013554083</v>
      </c>
      <c r="EO33" s="32">
        <v>10.410952393476345</v>
      </c>
      <c r="EP33" s="32">
        <v>10.422737508685444</v>
      </c>
      <c r="EQ33" s="32">
        <v>10.416514431150652</v>
      </c>
      <c r="ER33" s="32">
        <v>10.385546231592167</v>
      </c>
      <c r="ES33" s="32">
        <v>10.319898838619247</v>
      </c>
      <c r="ET33" s="32">
        <v>10.205211520821683</v>
      </c>
      <c r="EU33" s="32">
        <v>10.024911580630997</v>
      </c>
      <c r="EV33" s="32">
        <v>9.8006937559061846</v>
      </c>
      <c r="EW33" s="32">
        <v>10</v>
      </c>
      <c r="EX33" s="32"/>
      <c r="EY33" s="32">
        <v>-0.41652928364868291</v>
      </c>
      <c r="EZ33" s="32">
        <v>-0.43782526549167144</v>
      </c>
      <c r="FA33" s="32">
        <v>-0.46212428195085131</v>
      </c>
      <c r="FB33" s="32">
        <v>-0.49022057008409536</v>
      </c>
      <c r="FC33" s="32">
        <v>-0.52323636578389809</v>
      </c>
      <c r="FD33" s="32">
        <v>-0.5628164397213915</v>
      </c>
      <c r="FE33" s="32">
        <v>-0.61148376500335466</v>
      </c>
      <c r="FF33" s="32">
        <v>-0.6733464517042913</v>
      </c>
      <c r="FG33" s="32">
        <v>-0.75572734193521462</v>
      </c>
      <c r="FH33" s="32">
        <v>-0.87435894943204762</v>
      </c>
      <c r="FI33" s="32">
        <v>-1</v>
      </c>
      <c r="FJ33" s="32"/>
      <c r="FK33" s="32">
        <v>9.2446134560462472</v>
      </c>
      <c r="FL33" s="32">
        <v>8.3705942214147004</v>
      </c>
      <c r="FM33" s="32">
        <v>7.4657778213705743</v>
      </c>
      <c r="FN33" s="32">
        <v>6.5293640834008562</v>
      </c>
      <c r="FO33" s="32">
        <v>5.5608359517364896</v>
      </c>
      <c r="FP33" s="32">
        <v>4.5604462973677125</v>
      </c>
      <c r="FQ33" s="32">
        <v>3.5304845172725208</v>
      </c>
      <c r="FR33" s="32">
        <v>2.4786788179670416</v>
      </c>
      <c r="FS33" s="32">
        <v>1.4281274229840935</v>
      </c>
      <c r="FT33" s="32">
        <v>0.45553372499583256</v>
      </c>
      <c r="FU33" s="32">
        <v>0</v>
      </c>
      <c r="FV33" s="32"/>
      <c r="FW33" s="32">
        <v>0.37259850790365867</v>
      </c>
      <c r="FX33" s="32">
        <v>0.36382084256813574</v>
      </c>
      <c r="FY33" s="32">
        <v>0.35381053513023497</v>
      </c>
      <c r="FZ33" s="32">
        <v>0.34231496693517016</v>
      </c>
      <c r="GA33" s="32">
        <v>0.32889741503158554</v>
      </c>
      <c r="GB33" s="32">
        <v>0.31272963895798078</v>
      </c>
      <c r="GC33" s="32">
        <v>0.29210046643512344</v>
      </c>
      <c r="GD33" s="32">
        <v>0.26313385707233961</v>
      </c>
      <c r="GE33" s="32">
        <v>0.21597789296479508</v>
      </c>
      <c r="GF33" s="32">
        <v>0.1227338230101099</v>
      </c>
      <c r="GG33" s="32">
        <v>0</v>
      </c>
      <c r="GH33" s="32"/>
      <c r="GI33" s="32">
        <v>3.35811176435393</v>
      </c>
      <c r="GJ33" s="32">
        <v>3.5399286447664595</v>
      </c>
      <c r="GK33" s="32">
        <v>3.7494521681479456</v>
      </c>
      <c r="GL33" s="32">
        <v>3.9947298926057653</v>
      </c>
      <c r="GM33" s="32">
        <v>4.2875230751494504</v>
      </c>
      <c r="GN33" s="32">
        <v>4.645842798527152</v>
      </c>
      <c r="GO33" s="32">
        <v>5.0989678079714711</v>
      </c>
      <c r="GP33" s="32">
        <v>5.6984208406159995</v>
      </c>
      <c r="GQ33" s="32">
        <v>6.545577833622052</v>
      </c>
      <c r="GR33" s="32">
        <v>7.8788674144348203</v>
      </c>
      <c r="GS33" s="32">
        <v>10</v>
      </c>
      <c r="GT33" s="32"/>
      <c r="GU33" s="32">
        <v>-4.9988125136731787E-2</v>
      </c>
      <c r="GV33" s="32">
        <v>-5.5816377409035223E-2</v>
      </c>
      <c r="GW33" s="32">
        <v>-6.3178133688202021E-2</v>
      </c>
      <c r="GX33" s="32">
        <v>-7.2741068348122662E-2</v>
      </c>
      <c r="GY33" s="32">
        <v>-8.5608262605134655E-2</v>
      </c>
      <c r="GZ33" s="32">
        <v>-0.10372556222684226</v>
      </c>
      <c r="HA33" s="32">
        <v>-0.13083150558351342</v>
      </c>
      <c r="HB33" s="32">
        <v>-0.17498957246568247</v>
      </c>
      <c r="HC33" s="32">
        <v>-0.25672030919914723</v>
      </c>
      <c r="HD33" s="32">
        <v>-0.4435077101544338</v>
      </c>
      <c r="HE33" s="32">
        <v>-1</v>
      </c>
    </row>
    <row r="34" spans="1:213" ht="20.350000000000001" customHeight="1" x14ac:dyDescent="0.45">
      <c r="W34" s="32">
        <v>0.23340573016626567</v>
      </c>
      <c r="X34" s="32">
        <v>0.18043652905852123</v>
      </c>
      <c r="Y34" s="32">
        <v>0.1320454477136648</v>
      </c>
      <c r="Z34" s="32">
        <v>8.9549257640760369E-2</v>
      </c>
      <c r="AA34" s="32">
        <v>5.4364404625718697E-2</v>
      </c>
      <c r="AB34" s="32">
        <v>2.7808840119209446E-2</v>
      </c>
      <c r="AC34" s="32">
        <v>1.0660174015916976E-2</v>
      </c>
      <c r="AD34" s="32">
        <v>2.3570842584467633E-3</v>
      </c>
      <c r="AE34" s="32">
        <v>1.4605688026627503E-4</v>
      </c>
      <c r="AF34" s="32">
        <v>1.98999255082465E-7</v>
      </c>
      <c r="AG34" s="32">
        <v>0</v>
      </c>
      <c r="AH34" s="32"/>
      <c r="AI34" s="32">
        <v>-2.1061883815239421E-2</v>
      </c>
      <c r="AJ34" s="32">
        <v>-1.7633085938684109E-2</v>
      </c>
      <c r="AK34" s="32">
        <v>-1.4125188480153025E-2</v>
      </c>
      <c r="AL34" s="32">
        <v>-1.0630799070340403E-2</v>
      </c>
      <c r="AM34" s="32">
        <v>-7.2939574778779007E-3</v>
      </c>
      <c r="AN34" s="32">
        <v>-4.3243353154781387E-3</v>
      </c>
      <c r="AO34" s="32">
        <v>-1.9933838612335268E-3</v>
      </c>
      <c r="AP34" s="32">
        <v>-5.6162488381596945E-4</v>
      </c>
      <c r="AQ34" s="32">
        <v>-4.8862262428566759E-5</v>
      </c>
      <c r="AR34" s="32">
        <v>-1.0523392869263605E-7</v>
      </c>
      <c r="AS34" s="32">
        <v>0</v>
      </c>
      <c r="AT34" s="32"/>
      <c r="AU34" s="32">
        <v>0.91762200646275027</v>
      </c>
      <c r="AV34" s="32">
        <v>0.92788578555038337</v>
      </c>
      <c r="AW34" s="32">
        <v>0.93827058132186969</v>
      </c>
      <c r="AX34" s="32">
        <v>0.94863578136568816</v>
      </c>
      <c r="AY34" s="32">
        <v>0.95876397745231046</v>
      </c>
      <c r="AZ34" s="32">
        <v>0.96833835269651503</v>
      </c>
      <c r="BA34" s="32">
        <v>0.97694458586773492</v>
      </c>
      <c r="BB34" s="32">
        <v>0.98417279199509444</v>
      </c>
      <c r="BC34" s="32">
        <v>0.98996394581131975</v>
      </c>
      <c r="BD34" s="32">
        <v>0.99501227451762875</v>
      </c>
      <c r="BE34" s="32">
        <v>1</v>
      </c>
      <c r="BF34" s="32"/>
      <c r="BG34" s="32">
        <v>2.6466471043535278E-3</v>
      </c>
      <c r="BH34" s="32">
        <v>2.4097572557108538E-3</v>
      </c>
      <c r="BI34" s="32">
        <v>2.1251906718484648E-3</v>
      </c>
      <c r="BJ34" s="32">
        <v>1.7889959509796993E-3</v>
      </c>
      <c r="BK34" s="32">
        <v>1.4024106886393883E-3</v>
      </c>
      <c r="BL34" s="32">
        <v>9.7870936718480461E-4</v>
      </c>
      <c r="BM34" s="32">
        <v>5.5524386818989191E-4</v>
      </c>
      <c r="BN34" s="32">
        <v>2.0696494435118451E-4</v>
      </c>
      <c r="BO34" s="32">
        <v>2.710286887930291E-5</v>
      </c>
      <c r="BP34" s="32">
        <v>1.0561433577693791E-7</v>
      </c>
      <c r="BQ34" s="32">
        <v>0</v>
      </c>
      <c r="BR34" s="32"/>
      <c r="BS34" s="32">
        <v>3.0068386856829783E-2</v>
      </c>
      <c r="BT34" s="32">
        <v>2.4904617952604107E-2</v>
      </c>
      <c r="BU34" s="32">
        <v>1.9707211095389723E-2</v>
      </c>
      <c r="BV34" s="32">
        <v>1.4620791674964767E-2</v>
      </c>
      <c r="BW34" s="32">
        <v>9.8589979019615016E-3</v>
      </c>
      <c r="BX34" s="32">
        <v>5.7177768509514577E-3</v>
      </c>
      <c r="BY34" s="32">
        <v>2.5580126331950959E-3</v>
      </c>
      <c r="BZ34" s="32">
        <v>6.8889560077368441E-4</v>
      </c>
      <c r="CA34" s="32">
        <v>5.5348511445533229E-5</v>
      </c>
      <c r="CB34" s="32">
        <v>1.0226948513157991E-7</v>
      </c>
      <c r="CC34" s="32">
        <v>0</v>
      </c>
      <c r="CD34" s="32"/>
      <c r="CE34" s="32">
        <v>-2.4149691948010185E-3</v>
      </c>
      <c r="CF34" s="32">
        <v>-2.1783876398611558E-3</v>
      </c>
      <c r="CG34" s="32">
        <v>-1.8988690865943368E-3</v>
      </c>
      <c r="CH34" s="32">
        <v>-1.574706421004074E-3</v>
      </c>
      <c r="CI34" s="32">
        <v>-1.2100417166069615E-3</v>
      </c>
      <c r="CJ34" s="32">
        <v>-8.2124808592369362E-4</v>
      </c>
      <c r="CK34" s="32">
        <v>-4.4691995922807744E-4</v>
      </c>
      <c r="CL34" s="32">
        <v>-1.5555299210696764E-4</v>
      </c>
      <c r="CM34" s="32">
        <v>-1.788051826691863E-5</v>
      </c>
      <c r="CN34" s="32">
        <v>-5.3490049136018798E-8</v>
      </c>
      <c r="CO34" s="32">
        <v>0</v>
      </c>
      <c r="CP34" s="32"/>
      <c r="CQ34" s="32">
        <v>0.24662521470396198</v>
      </c>
      <c r="CR34" s="32">
        <v>0.24914349845587042</v>
      </c>
      <c r="CS34" s="32">
        <v>0.25063441060222347</v>
      </c>
      <c r="CT34" s="32">
        <v>0.2505762909188341</v>
      </c>
      <c r="CU34" s="32">
        <v>0.24816560399516252</v>
      </c>
      <c r="CV34" s="32">
        <v>0.24213503365428515</v>
      </c>
      <c r="CW34" s="32">
        <v>0.23041451719567485</v>
      </c>
      <c r="CX34" s="32">
        <v>0.20940603896400767</v>
      </c>
      <c r="CY34" s="32">
        <v>0.17195577779890281</v>
      </c>
      <c r="CZ34" s="32">
        <v>9.9488372830082702E-2</v>
      </c>
      <c r="DA34" s="32">
        <v>0</v>
      </c>
      <c r="DB34" s="32"/>
      <c r="DC34" s="32">
        <v>-9.0745171937750974E-3</v>
      </c>
      <c r="DD34" s="32">
        <v>-9.9139998965087628E-3</v>
      </c>
      <c r="DE34" s="32">
        <v>-1.0886914300928918E-2</v>
      </c>
      <c r="DF34" s="32">
        <v>-1.2017760109083397E-2</v>
      </c>
      <c r="DG34" s="32">
        <v>-1.3332997261627344E-2</v>
      </c>
      <c r="DH34" s="32">
        <v>-1.485603003299743E-2</v>
      </c>
      <c r="DI34" s="32">
        <v>-1.6593188146984211E-2</v>
      </c>
      <c r="DJ34" s="32">
        <v>-1.8493631018339576E-2</v>
      </c>
      <c r="DK34" s="32">
        <v>-2.0277769760450357E-2</v>
      </c>
      <c r="DL34" s="32">
        <v>-1.979112499452669E-2</v>
      </c>
      <c r="DM34" s="32">
        <v>0</v>
      </c>
      <c r="DN34" s="32"/>
      <c r="DO34" s="32">
        <v>24.491426771724075</v>
      </c>
      <c r="DP34" s="32">
        <v>24.837827469025051</v>
      </c>
      <c r="DQ34" s="32">
        <v>25.215848476230558</v>
      </c>
      <c r="DR34" s="32">
        <v>25.631227713707769</v>
      </c>
      <c r="DS34" s="32">
        <v>26.09111282772017</v>
      </c>
      <c r="DT34" s="32">
        <v>26.604406458318945</v>
      </c>
      <c r="DU34" s="32">
        <v>27.182127666718728</v>
      </c>
      <c r="DV34" s="32">
        <v>27.837620135827411</v>
      </c>
      <c r="DW34" s="32">
        <v>28.585391554686204</v>
      </c>
      <c r="DX34" s="32">
        <v>29.422823260965448</v>
      </c>
      <c r="DY34" s="32">
        <v>30</v>
      </c>
      <c r="DZ34" s="32"/>
      <c r="EA34" s="32">
        <v>0.21458153860479356</v>
      </c>
      <c r="EB34" s="32">
        <v>0.21735307838985207</v>
      </c>
      <c r="EC34" s="32">
        <v>0.21941073194849636</v>
      </c>
      <c r="ED34" s="32">
        <v>0.22034289555617903</v>
      </c>
      <c r="EE34" s="32">
        <v>0.21951237681846969</v>
      </c>
      <c r="EF34" s="32">
        <v>0.21589983645888111</v>
      </c>
      <c r="EG34" s="32">
        <v>0.20779685649053725</v>
      </c>
      <c r="EH34" s="32">
        <v>0.19210840144097574</v>
      </c>
      <c r="EI34" s="32">
        <v>0.16229623975498875</v>
      </c>
      <c r="EJ34" s="32">
        <v>9.997176409972397E-2</v>
      </c>
      <c r="EK34" s="32">
        <v>0</v>
      </c>
      <c r="EL34" s="32"/>
      <c r="EM34" s="32">
        <v>4.045455934400497</v>
      </c>
      <c r="EN34" s="32">
        <v>3.8420969596528747</v>
      </c>
      <c r="EO34" s="32">
        <v>3.6078346746876111</v>
      </c>
      <c r="EP34" s="32">
        <v>3.3369347531116622</v>
      </c>
      <c r="EQ34" s="32">
        <v>3.0222531606486198</v>
      </c>
      <c r="ER34" s="32">
        <v>2.6548908873369985</v>
      </c>
      <c r="ES34" s="32">
        <v>2.223832520244827</v>
      </c>
      <c r="ET34" s="32">
        <v>1.7157380430313991</v>
      </c>
      <c r="EU34" s="32">
        <v>1.1161034516014186</v>
      </c>
      <c r="EV34" s="32">
        <v>0.42755111170578236</v>
      </c>
      <c r="EW34" s="32">
        <v>0</v>
      </c>
      <c r="EX34" s="32"/>
      <c r="EY34" s="32">
        <v>-0.21458153852703599</v>
      </c>
      <c r="EZ34" s="32">
        <v>-0.21735307833154782</v>
      </c>
      <c r="FA34" s="32">
        <v>-0.21941073190732929</v>
      </c>
      <c r="FB34" s="32">
        <v>-0.22034289552944752</v>
      </c>
      <c r="FC34" s="32">
        <v>-0.21951237680309976</v>
      </c>
      <c r="FD34" s="32">
        <v>-0.21589983645156363</v>
      </c>
      <c r="FE34" s="32">
        <v>-0.20779685648799529</v>
      </c>
      <c r="FF34" s="32">
        <v>-0.19210840144048758</v>
      </c>
      <c r="FG34" s="32">
        <v>-0.162296239754953</v>
      </c>
      <c r="FH34" s="32">
        <v>-9.997176409971667E-2</v>
      </c>
      <c r="FI34" s="32">
        <v>0</v>
      </c>
      <c r="FJ34" s="32"/>
      <c r="FK34" s="32">
        <v>20.584806176440665</v>
      </c>
      <c r="FL34" s="32">
        <v>19.738892645164711</v>
      </c>
      <c r="FM34" s="32">
        <v>18.850932175712927</v>
      </c>
      <c r="FN34" s="32">
        <v>17.918395977277164</v>
      </c>
      <c r="FO34" s="32">
        <v>16.938158017699831</v>
      </c>
      <c r="FP34" s="32">
        <v>15.905945733339449</v>
      </c>
      <c r="FQ34" s="32">
        <v>14.815231352629748</v>
      </c>
      <c r="FR34" s="32">
        <v>13.65529639458604</v>
      </c>
      <c r="FS34" s="32">
        <v>12.409897302549171</v>
      </c>
      <c r="FT34" s="32">
        <v>11.075929218442882</v>
      </c>
      <c r="FU34" s="32">
        <v>10</v>
      </c>
      <c r="FV34" s="32"/>
      <c r="FW34" s="32">
        <v>0.71811462600996201</v>
      </c>
      <c r="FX34" s="32">
        <v>0.72853437905635765</v>
      </c>
      <c r="FY34" s="32">
        <v>0.73905716925549747</v>
      </c>
      <c r="FZ34" s="32">
        <v>0.74978647726283221</v>
      </c>
      <c r="GA34" s="32">
        <v>0.76095937420737769</v>
      </c>
      <c r="GB34" s="32">
        <v>0.7731039859584401</v>
      </c>
      <c r="GC34" s="32">
        <v>0.78740512480453262</v>
      </c>
      <c r="GD34" s="32">
        <v>0.80661583329049247</v>
      </c>
      <c r="GE34" s="32">
        <v>0.83759901708762907</v>
      </c>
      <c r="GF34" s="32">
        <v>0.90002802020882822</v>
      </c>
      <c r="GG34" s="32">
        <v>1</v>
      </c>
      <c r="GH34" s="32"/>
      <c r="GI34" s="32">
        <v>1.9313490219794816</v>
      </c>
      <c r="GJ34" s="32">
        <v>1.9465486579257723</v>
      </c>
      <c r="GK34" s="32">
        <v>1.9510144873890021</v>
      </c>
      <c r="GL34" s="32">
        <v>1.9390603721193855</v>
      </c>
      <c r="GM34" s="32">
        <v>1.9017257236948963</v>
      </c>
      <c r="GN34" s="32">
        <v>1.8245844825261328</v>
      </c>
      <c r="GO34" s="32">
        <v>1.6839635212777104</v>
      </c>
      <c r="GP34" s="32">
        <v>1.4409396831694814</v>
      </c>
      <c r="GQ34" s="32">
        <v>1.0362112384546052</v>
      </c>
      <c r="GR34" s="32">
        <v>0.42416876486438798</v>
      </c>
      <c r="GS34" s="32">
        <v>0</v>
      </c>
      <c r="GT34" s="32"/>
      <c r="GU34" s="32">
        <v>-7.4348234503528121E-2</v>
      </c>
      <c r="GV34" s="32">
        <v>-8.155080832319872E-2</v>
      </c>
      <c r="GW34" s="32">
        <v>-8.9910102576249318E-2</v>
      </c>
      <c r="GX34" s="32">
        <v>-9.9601422548342811E-2</v>
      </c>
      <c r="GY34" s="32">
        <v>-0.1107395676271099</v>
      </c>
      <c r="GZ34" s="32">
        <v>-0.12319864269618197</v>
      </c>
      <c r="HA34" s="32">
        <v>-0.13609837158676141</v>
      </c>
      <c r="HB34" s="32">
        <v>-0.14630032495975609</v>
      </c>
      <c r="HC34" s="32">
        <v>-0.14382898467412469</v>
      </c>
      <c r="HD34" s="32">
        <v>-9.8608798695495464E-2</v>
      </c>
      <c r="HE34" s="32">
        <v>0</v>
      </c>
    </row>
    <row r="35" spans="1:213" ht="20.350000000000001" customHeight="1" x14ac:dyDescent="0.45">
      <c r="W35" s="32">
        <v>3.598085917256149E-2</v>
      </c>
      <c r="X35" s="32">
        <v>2.3673196760952985E-2</v>
      </c>
      <c r="Y35" s="32">
        <v>1.4190123821267879E-2</v>
      </c>
      <c r="Z35" s="32">
        <v>7.466214844390002E-3</v>
      </c>
      <c r="AA35" s="32">
        <v>3.2447765178308307E-3</v>
      </c>
      <c r="AB35" s="32">
        <v>1.0467218693296916E-3</v>
      </c>
      <c r="AC35" s="32">
        <v>2.0390163880572561E-4</v>
      </c>
      <c r="AD35" s="32">
        <v>1.5278867529027007E-5</v>
      </c>
      <c r="AE35" s="32">
        <v>1.4202740682054363E-7</v>
      </c>
      <c r="AF35" s="32">
        <v>8.4686498064712716E-12</v>
      </c>
      <c r="AG35" s="32">
        <v>0</v>
      </c>
      <c r="AH35" s="32"/>
      <c r="AI35" s="32">
        <v>-3.4712957519100508E-3</v>
      </c>
      <c r="AJ35" s="32">
        <v>-2.4877128683723944E-3</v>
      </c>
      <c r="AK35" s="32">
        <v>-1.6429383541450761E-3</v>
      </c>
      <c r="AL35" s="32">
        <v>-9.6633637008560229E-4</v>
      </c>
      <c r="AM35" s="32">
        <v>-4.7847542531992025E-4</v>
      </c>
      <c r="AN35" s="32">
        <v>-1.8046021173965545E-4</v>
      </c>
      <c r="AO35" s="32">
        <v>-4.2634045920709698E-5</v>
      </c>
      <c r="AP35" s="32">
        <v>-4.0859939069413815E-6</v>
      </c>
      <c r="AQ35" s="32">
        <v>-5.1990347378411644E-8</v>
      </c>
      <c r="AR35" s="32">
        <v>-4.3562243602797054E-12</v>
      </c>
      <c r="AS35" s="32">
        <v>0</v>
      </c>
      <c r="AT35" s="32"/>
      <c r="AU35" s="32">
        <v>0.94489413228577923</v>
      </c>
      <c r="AV35" s="32">
        <v>0.95144941789510662</v>
      </c>
      <c r="AW35" s="32">
        <v>0.95777698444516046</v>
      </c>
      <c r="AX35" s="32">
        <v>0.96382500860820797</v>
      </c>
      <c r="AY35" s="32">
        <v>0.96955709975488413</v>
      </c>
      <c r="AZ35" s="32">
        <v>0.97497060611519981</v>
      </c>
      <c r="BA35" s="32">
        <v>0.98011683671769856</v>
      </c>
      <c r="BB35" s="32">
        <v>0.98510381257309887</v>
      </c>
      <c r="BC35" s="32">
        <v>0.9900497235199982</v>
      </c>
      <c r="BD35" s="32">
        <v>0.99501247907896817</v>
      </c>
      <c r="BE35" s="32">
        <v>1</v>
      </c>
      <c r="BF35" s="32"/>
      <c r="BG35" s="32">
        <v>5.5494726081106727E-4</v>
      </c>
      <c r="BH35" s="32">
        <v>4.3591286031269272E-4</v>
      </c>
      <c r="BI35" s="32">
        <v>3.1974248509725189E-4</v>
      </c>
      <c r="BJ35" s="32">
        <v>2.1246327628215989E-4</v>
      </c>
      <c r="BK35" s="32">
        <v>1.2157749609242874E-4</v>
      </c>
      <c r="BL35" s="32">
        <v>5.4692247349441558E-5</v>
      </c>
      <c r="BM35" s="32">
        <v>1.6139839868367645E-5</v>
      </c>
      <c r="BN35" s="32">
        <v>2.0732763632569373E-6</v>
      </c>
      <c r="BO35" s="32">
        <v>3.9062710732729045E-8</v>
      </c>
      <c r="BP35" s="32">
        <v>5.1326720651445612E-12</v>
      </c>
      <c r="BQ35" s="32">
        <v>0</v>
      </c>
      <c r="BR35" s="32"/>
      <c r="BS35" s="32">
        <v>5.5021224861050528E-3</v>
      </c>
      <c r="BT35" s="32">
        <v>3.8975942486904327E-3</v>
      </c>
      <c r="BU35" s="32">
        <v>2.5391538698231837E-3</v>
      </c>
      <c r="BV35" s="32">
        <v>1.469214513750384E-3</v>
      </c>
      <c r="BW35" s="32">
        <v>7.1287359580297688E-4</v>
      </c>
      <c r="BX35" s="32">
        <v>2.618878500639875E-4</v>
      </c>
      <c r="BY35" s="32">
        <v>5.9659751055614591E-5</v>
      </c>
      <c r="BZ35" s="32">
        <v>5.4122388900489067E-6</v>
      </c>
      <c r="CA35" s="32">
        <v>6.3004559720404528E-8</v>
      </c>
      <c r="CB35" s="32">
        <v>4.6465586367734107E-12</v>
      </c>
      <c r="CC35" s="32">
        <v>0</v>
      </c>
      <c r="CD35" s="32"/>
      <c r="CE35" s="32">
        <v>-4.8976072830214353E-4</v>
      </c>
      <c r="CF35" s="32">
        <v>-3.7974620099764738E-4</v>
      </c>
      <c r="CG35" s="32">
        <v>-2.7406142615168938E-4</v>
      </c>
      <c r="CH35" s="32">
        <v>-1.7835516518060264E-4</v>
      </c>
      <c r="CI35" s="32">
        <v>-9.9273439072135078E-5</v>
      </c>
      <c r="CJ35" s="32">
        <v>-4.2971869523296565E-5</v>
      </c>
      <c r="CK35" s="32">
        <v>-1.1979603439784698E-5</v>
      </c>
      <c r="CL35" s="32">
        <v>-1.4050926520689429E-6</v>
      </c>
      <c r="CM35" s="32">
        <v>-2.2688299176758482E-8</v>
      </c>
      <c r="CN35" s="32">
        <v>-2.3790788733787056E-12</v>
      </c>
      <c r="CO35" s="32">
        <v>0</v>
      </c>
      <c r="CP35" s="32"/>
      <c r="CQ35" s="32">
        <v>0.10132996685327</v>
      </c>
      <c r="CR35" s="32">
        <v>9.5003008955814663E-2</v>
      </c>
      <c r="CS35" s="32">
        <v>8.7186062020647909E-2</v>
      </c>
      <c r="CT35" s="32">
        <v>7.7671592540414752E-2</v>
      </c>
      <c r="CU35" s="32">
        <v>6.6273996596062312E-2</v>
      </c>
      <c r="CV35" s="32">
        <v>5.290398404801689E-2</v>
      </c>
      <c r="CW35" s="32">
        <v>3.7748917823966513E-2</v>
      </c>
      <c r="CX35" s="32">
        <v>2.1712208285675414E-2</v>
      </c>
      <c r="CY35" s="32">
        <v>7.4447490665137646E-3</v>
      </c>
      <c r="CZ35" s="32">
        <v>3.7259274107433209E-4</v>
      </c>
      <c r="DA35" s="32">
        <v>0</v>
      </c>
      <c r="DB35" s="32"/>
      <c r="DC35" s="32">
        <v>-5.2073077314014338E-3</v>
      </c>
      <c r="DD35" s="32">
        <v>-5.2903256899592063E-3</v>
      </c>
      <c r="DE35" s="32">
        <v>-5.3229745211917923E-3</v>
      </c>
      <c r="DF35" s="32">
        <v>-5.2733234906843993E-3</v>
      </c>
      <c r="DG35" s="32">
        <v>-5.0938131530871775E-3</v>
      </c>
      <c r="DH35" s="32">
        <v>-4.7151904350808335E-3</v>
      </c>
      <c r="DI35" s="32">
        <v>-4.0411031102186752E-3</v>
      </c>
      <c r="DJ35" s="32">
        <v>-2.9569484181171234E-3</v>
      </c>
      <c r="DK35" s="32">
        <v>-1.4380772619027146E-3</v>
      </c>
      <c r="DL35" s="32">
        <v>-1.3039413483949719E-4</v>
      </c>
      <c r="DM35" s="32">
        <v>0</v>
      </c>
      <c r="DN35" s="32"/>
      <c r="DO35" s="32">
        <v>27.267408664279813</v>
      </c>
      <c r="DP35" s="32">
        <v>27.570370209159567</v>
      </c>
      <c r="DQ35" s="32">
        <v>27.881985864391474</v>
      </c>
      <c r="DR35" s="32">
        <v>28.200221739877328</v>
      </c>
      <c r="DS35" s="32">
        <v>28.521673861040053</v>
      </c>
      <c r="DT35" s="32">
        <v>28.840798625356932</v>
      </c>
      <c r="DU35" s="32">
        <v>29.148714173308271</v>
      </c>
      <c r="DV35" s="32">
        <v>29.43156170674937</v>
      </c>
      <c r="DW35" s="32">
        <v>29.669841580379234</v>
      </c>
      <c r="DX35" s="32">
        <v>29.849350079562544</v>
      </c>
      <c r="DY35" s="32">
        <v>30</v>
      </c>
      <c r="DZ35" s="32"/>
      <c r="EA35" s="32">
        <v>7.9366575920733595E-2</v>
      </c>
      <c r="EB35" s="32">
        <v>7.455185722165325E-2</v>
      </c>
      <c r="EC35" s="32">
        <v>6.8702886360673787E-2</v>
      </c>
      <c r="ED35" s="32">
        <v>6.1614722330526561E-2</v>
      </c>
      <c r="EE35" s="32">
        <v>5.3078746815055311E-2</v>
      </c>
      <c r="EF35" s="32">
        <v>4.293559751206466E-2</v>
      </c>
      <c r="EG35" s="32">
        <v>3.1209038250617382E-2</v>
      </c>
      <c r="EH35" s="32">
        <v>1.8451565212302512E-2</v>
      </c>
      <c r="EI35" s="32">
        <v>6.6337888095127084E-3</v>
      </c>
      <c r="EJ35" s="32">
        <v>3.7236958716491131E-4</v>
      </c>
      <c r="EK35" s="32">
        <v>0</v>
      </c>
      <c r="EL35" s="32"/>
      <c r="EM35" s="32">
        <v>1.2694740450780591</v>
      </c>
      <c r="EN35" s="32">
        <v>1.1095542221432209</v>
      </c>
      <c r="EO35" s="32">
        <v>0.94169728857358248</v>
      </c>
      <c r="EP35" s="32">
        <v>0.7679407284531693</v>
      </c>
      <c r="EQ35" s="32">
        <v>0.59169212836061269</v>
      </c>
      <c r="ER35" s="32">
        <v>0.4184987209256924</v>
      </c>
      <c r="ES35" s="32">
        <v>0.25724601396971647</v>
      </c>
      <c r="ET35" s="32">
        <v>0.12179647222065931</v>
      </c>
      <c r="EU35" s="32">
        <v>3.1653425926423943E-2</v>
      </c>
      <c r="EV35" s="32">
        <v>1.0242931089094152E-3</v>
      </c>
      <c r="EW35" s="32">
        <v>0</v>
      </c>
      <c r="EX35" s="32"/>
      <c r="EY35" s="32">
        <v>-7.9366575648595283E-2</v>
      </c>
      <c r="EZ35" s="32">
        <v>-7.4551856990702881E-2</v>
      </c>
      <c r="FA35" s="32">
        <v>-6.8702886170756372E-2</v>
      </c>
      <c r="FB35" s="32">
        <v>-6.1614722180943771E-2</v>
      </c>
      <c r="FC35" s="32">
        <v>-5.3078746704286861E-2</v>
      </c>
      <c r="FD35" s="32">
        <v>-4.293559743737102E-2</v>
      </c>
      <c r="FE35" s="32">
        <v>-3.120903820747066E-2</v>
      </c>
      <c r="FF35" s="32">
        <v>-1.8451565193651973E-2</v>
      </c>
      <c r="FG35" s="32">
        <v>-6.6337888053923377E-3</v>
      </c>
      <c r="FH35" s="32">
        <v>-3.7236958707827429E-4</v>
      </c>
      <c r="FI35" s="32">
        <v>0</v>
      </c>
      <c r="FJ35" s="32"/>
      <c r="FK35" s="32">
        <v>36.363507093689435</v>
      </c>
      <c r="FL35" s="32">
        <v>35.841740473295587</v>
      </c>
      <c r="FM35" s="32">
        <v>35.286691869494433</v>
      </c>
      <c r="FN35" s="32">
        <v>34.697155581295277</v>
      </c>
      <c r="FO35" s="32">
        <v>34.072647457842393</v>
      </c>
      <c r="FP35" s="32">
        <v>33.414302909438049</v>
      </c>
      <c r="FQ35" s="32">
        <v>32.726668125575003</v>
      </c>
      <c r="FR35" s="32">
        <v>32.020972345579615</v>
      </c>
      <c r="FS35" s="32">
        <v>31.31936728417265</v>
      </c>
      <c r="FT35" s="32">
        <v>30.649326766477881</v>
      </c>
      <c r="FU35" s="32">
        <v>30</v>
      </c>
      <c r="FV35" s="32"/>
      <c r="FW35" s="32">
        <v>0.82507213985794792</v>
      </c>
      <c r="FX35" s="32">
        <v>0.84543637464007659</v>
      </c>
      <c r="FY35" s="32">
        <v>0.8664438747794776</v>
      </c>
      <c r="FZ35" s="32">
        <v>0.8880641719972111</v>
      </c>
      <c r="GA35" s="32">
        <v>0.91020429742145481</v>
      </c>
      <c r="GB35" s="32">
        <v>0.93263588215840798</v>
      </c>
      <c r="GC35" s="32">
        <v>0.95482746325431656</v>
      </c>
      <c r="GD35" s="32">
        <v>0.97555065525266826</v>
      </c>
      <c r="GE35" s="32">
        <v>0.99204294884391331</v>
      </c>
      <c r="GF35" s="32">
        <v>0.9995987256114045</v>
      </c>
      <c r="GG35" s="32">
        <v>1</v>
      </c>
      <c r="GH35" s="32"/>
      <c r="GI35" s="32">
        <v>0.76119896841371826</v>
      </c>
      <c r="GJ35" s="32">
        <v>0.70529843755298471</v>
      </c>
      <c r="GK35" s="32">
        <v>0.63689602326921091</v>
      </c>
      <c r="GL35" s="32">
        <v>0.5546200632823981</v>
      </c>
      <c r="GM35" s="32">
        <v>0.45777550810298945</v>
      </c>
      <c r="GN35" s="32">
        <v>0.3474689992917166</v>
      </c>
      <c r="GO35" s="32">
        <v>0.2288831714132652</v>
      </c>
      <c r="GP35" s="32">
        <v>0.11519958195536636</v>
      </c>
      <c r="GQ35" s="32">
        <v>3.1213148101633136E-2</v>
      </c>
      <c r="GR35" s="32">
        <v>1.0236272576221342E-3</v>
      </c>
      <c r="GS35" s="32">
        <v>0</v>
      </c>
      <c r="GT35" s="32"/>
      <c r="GU35" s="32">
        <v>-4.0887213496388963E-2</v>
      </c>
      <c r="GV35" s="32">
        <v>-4.1287438584756919E-2</v>
      </c>
      <c r="GW35" s="32">
        <v>-4.1133792171661521E-2</v>
      </c>
      <c r="GX35" s="32">
        <v>-4.010529213516717E-2</v>
      </c>
      <c r="GY35" s="32">
        <v>-3.7748383885824355E-2</v>
      </c>
      <c r="GZ35" s="32">
        <v>-3.3471297168609665E-2</v>
      </c>
      <c r="HA35" s="32">
        <v>-2.6648683385868469E-2</v>
      </c>
      <c r="HB35" s="32">
        <v>-1.7096967048518541E-2</v>
      </c>
      <c r="HC35" s="32">
        <v>-6.5066748191008345E-3</v>
      </c>
      <c r="HD35" s="32">
        <v>-3.7206482484099436E-4</v>
      </c>
      <c r="HE35" s="32">
        <v>0</v>
      </c>
    </row>
    <row r="36" spans="1:213" ht="20.350000000000001" customHeight="1" x14ac:dyDescent="0.45">
      <c r="W36" s="32">
        <v>4.9627449632374384E-3</v>
      </c>
      <c r="X36" s="32">
        <v>2.7435213138760806E-3</v>
      </c>
      <c r="Y36" s="32">
        <v>1.3219395138909565E-3</v>
      </c>
      <c r="Z36" s="32">
        <v>5.2539545321062583E-4</v>
      </c>
      <c r="AA36" s="32">
        <v>1.5742984856607475E-4</v>
      </c>
      <c r="AB36" s="32">
        <v>3.0397345564452145E-5</v>
      </c>
      <c r="AC36" s="32">
        <v>2.8071722956663282E-6</v>
      </c>
      <c r="AD36" s="32">
        <v>6.6646351430274582E-8</v>
      </c>
      <c r="AE36" s="32">
        <v>1.0368625471315802E-10</v>
      </c>
      <c r="AF36" s="32">
        <v>5.875144591832887E-16</v>
      </c>
      <c r="AG36" s="32">
        <v>0</v>
      </c>
      <c r="AH36" s="32"/>
      <c r="AI36" s="32">
        <v>-5.1399949205500504E-4</v>
      </c>
      <c r="AJ36" s="32">
        <v>-3.0710771773920058E-4</v>
      </c>
      <c r="AK36" s="32">
        <v>-1.6218208509740989E-4</v>
      </c>
      <c r="AL36" s="32">
        <v>-7.1869995835448675E-5</v>
      </c>
      <c r="AM36" s="32">
        <v>-2.4531817393550346E-5</v>
      </c>
      <c r="AN36" s="32">
        <v>-5.5452289907346539E-6</v>
      </c>
      <c r="AO36" s="32">
        <v>-6.2109080890585005E-7</v>
      </c>
      <c r="AP36" s="32">
        <v>-1.8684434278793364E-8</v>
      </c>
      <c r="AQ36" s="32">
        <v>-3.8220995537056206E-11</v>
      </c>
      <c r="AR36" s="32">
        <v>-2.8196265673696716E-16</v>
      </c>
      <c r="AS36" s="32">
        <v>0</v>
      </c>
      <c r="AT36" s="32"/>
      <c r="AU36" s="32">
        <v>0.95021002602304283</v>
      </c>
      <c r="AV36" s="32">
        <v>0.95537820300374809</v>
      </c>
      <c r="AW36" s="32">
        <v>0.96045722711589077</v>
      </c>
      <c r="AX36" s="32">
        <v>0.96545591619426296</v>
      </c>
      <c r="AY36" s="32">
        <v>0.97039365986984993</v>
      </c>
      <c r="AZ36" s="32">
        <v>0.9752979498003389</v>
      </c>
      <c r="BA36" s="32">
        <v>0.98019729520792109</v>
      </c>
      <c r="BB36" s="32">
        <v>0.9851118960817995</v>
      </c>
      <c r="BC36" s="32">
        <v>0.9900498334709813</v>
      </c>
      <c r="BD36" s="32">
        <v>0.99501247909236745</v>
      </c>
      <c r="BE36" s="32">
        <v>1</v>
      </c>
      <c r="BF36" s="32"/>
      <c r="BG36" s="32">
        <v>9.9063266422894092E-5</v>
      </c>
      <c r="BH36" s="32">
        <v>6.5101922638921561E-5</v>
      </c>
      <c r="BI36" s="32">
        <v>3.8346571750225156E-5</v>
      </c>
      <c r="BJ36" s="32">
        <v>1.9297005751428564E-5</v>
      </c>
      <c r="BK36" s="32">
        <v>7.6592282357013097E-6</v>
      </c>
      <c r="BL36" s="32">
        <v>2.079236531171702E-6</v>
      </c>
      <c r="BM36" s="32">
        <v>2.9259064138198454E-7</v>
      </c>
      <c r="BN36" s="32">
        <v>1.1763019169830358E-8</v>
      </c>
      <c r="BO36" s="32">
        <v>3.732070208428695E-11</v>
      </c>
      <c r="BP36" s="32">
        <v>7.7260420283664644E-13</v>
      </c>
      <c r="BQ36" s="32">
        <v>0</v>
      </c>
      <c r="BR36" s="32"/>
      <c r="BS36" s="32">
        <v>8.6261276120232471E-4</v>
      </c>
      <c r="BT36" s="32">
        <v>5.1536041158550339E-4</v>
      </c>
      <c r="BU36" s="32">
        <v>2.7081058398104274E-4</v>
      </c>
      <c r="BV36" s="32">
        <v>1.1870688991990908E-4</v>
      </c>
      <c r="BW36" s="32">
        <v>3.9789110152642827E-5</v>
      </c>
      <c r="BX36" s="32">
        <v>8.7502870547543554E-6</v>
      </c>
      <c r="BY36" s="32">
        <v>9.4125959241135493E-7</v>
      </c>
      <c r="BZ36" s="32">
        <v>2.6666882776783458E-8</v>
      </c>
      <c r="CA36" s="32">
        <v>5.002363891626236E-11</v>
      </c>
      <c r="CB36" s="32">
        <v>3.3245755869570495E-16</v>
      </c>
      <c r="CC36" s="32">
        <v>0</v>
      </c>
      <c r="CD36" s="32"/>
      <c r="CE36" s="32">
        <v>-8.4802381622369589E-5</v>
      </c>
      <c r="CF36" s="32">
        <v>-5.4850232076466719E-5</v>
      </c>
      <c r="CG36" s="32">
        <v>-3.1670594406363811E-5</v>
      </c>
      <c r="CH36" s="32">
        <v>-1.553412543766073E-5</v>
      </c>
      <c r="CI36" s="32">
        <v>-5.9591578868313539E-6</v>
      </c>
      <c r="CJ36" s="32">
        <v>-1.5431881565925895E-6</v>
      </c>
      <c r="CK36" s="32">
        <v>-2.0276099013578451E-7</v>
      </c>
      <c r="CL36" s="32">
        <v>-7.3407682247336068E-9</v>
      </c>
      <c r="CM36" s="32">
        <v>-1.8272021899761374E-11</v>
      </c>
      <c r="CN36" s="32">
        <v>-1.5913499084764748E-16</v>
      </c>
      <c r="CO36" s="32">
        <v>0</v>
      </c>
      <c r="CP36" s="32"/>
      <c r="CQ36" s="32">
        <v>3.0983655923975412E-2</v>
      </c>
      <c r="CR36" s="32">
        <v>2.6678507168084158E-2</v>
      </c>
      <c r="CS36" s="32">
        <v>2.1943580472845448E-2</v>
      </c>
      <c r="CT36" s="32">
        <v>1.6927942553394651E-2</v>
      </c>
      <c r="CU36" s="32">
        <v>1.18883436252903E-2</v>
      </c>
      <c r="CV36" s="32">
        <v>7.2139689110693895E-3</v>
      </c>
      <c r="CW36" s="32">
        <v>3.415408442519773E-3</v>
      </c>
      <c r="CX36" s="32">
        <v>9.9967927509783021E-4</v>
      </c>
      <c r="CY36" s="32">
        <v>9.277074725278292E-5</v>
      </c>
      <c r="CZ36" s="32">
        <v>2.1551070149586124E-7</v>
      </c>
      <c r="DA36" s="32">
        <v>0</v>
      </c>
      <c r="DB36" s="32"/>
      <c r="DC36" s="32">
        <v>-2.1932479896431874E-3</v>
      </c>
      <c r="DD36" s="32">
        <v>-1.9881119710431199E-3</v>
      </c>
      <c r="DE36" s="32">
        <v>-1.7447125017995696E-3</v>
      </c>
      <c r="DF36" s="32">
        <v>-1.4616911397336918E-3</v>
      </c>
      <c r="DG36" s="32">
        <v>-1.1416737706373163E-3</v>
      </c>
      <c r="DH36" s="32">
        <v>-7.9592887813115026E-4</v>
      </c>
      <c r="DI36" s="32">
        <v>-4.5309905018477278E-4</v>
      </c>
      <c r="DJ36" s="32">
        <v>-1.7052234645027498E-4</v>
      </c>
      <c r="DK36" s="32">
        <v>-2.2646733232061771E-5</v>
      </c>
      <c r="DL36" s="32">
        <v>-8.5863052407911727E-8</v>
      </c>
      <c r="DM36" s="32">
        <v>0</v>
      </c>
      <c r="DN36" s="32"/>
      <c r="DO36" s="32">
        <v>28.212209587223679</v>
      </c>
      <c r="DP36" s="32">
        <v>28.421442762198005</v>
      </c>
      <c r="DQ36" s="32">
        <v>28.628769892972503</v>
      </c>
      <c r="DR36" s="32">
        <v>28.831798353062219</v>
      </c>
      <c r="DS36" s="32">
        <v>29.027750475542177</v>
      </c>
      <c r="DT36" s="32">
        <v>29.213766312357901</v>
      </c>
      <c r="DU36" s="32">
        <v>29.387610401806445</v>
      </c>
      <c r="DV36" s="32">
        <v>29.548988476879657</v>
      </c>
      <c r="DW36" s="32">
        <v>29.701187886694981</v>
      </c>
      <c r="DX36" s="32">
        <v>29.850373866374532</v>
      </c>
      <c r="DY36" s="32">
        <v>30</v>
      </c>
      <c r="DZ36" s="32"/>
      <c r="EA36" s="32">
        <v>2.5110296157929923E-2</v>
      </c>
      <c r="EB36" s="32">
        <v>2.1073583993976186E-2</v>
      </c>
      <c r="EC36" s="32">
        <v>1.6961939713171503E-2</v>
      </c>
      <c r="ED36" s="32">
        <v>1.2876023928285463E-2</v>
      </c>
      <c r="EE36" s="32">
        <v>8.9658154386942357E-3</v>
      </c>
      <c r="EF36" s="32">
        <v>5.448341968250503E-3</v>
      </c>
      <c r="EG36" s="32">
        <v>2.6167448777982827E-3</v>
      </c>
      <c r="EH36" s="32">
        <v>7.9060765270533295E-4</v>
      </c>
      <c r="EI36" s="32">
        <v>7.7993603436965486E-5</v>
      </c>
      <c r="EJ36" s="32">
        <v>2.0435710901267612E-7</v>
      </c>
      <c r="EK36" s="32">
        <v>0</v>
      </c>
      <c r="EL36" s="32"/>
      <c r="EM36" s="32">
        <v>0.32467313085805577</v>
      </c>
      <c r="EN36" s="32">
        <v>0.258481676861259</v>
      </c>
      <c r="EO36" s="32">
        <v>0.19491326674803358</v>
      </c>
      <c r="EP36" s="32">
        <v>0.13636412099168793</v>
      </c>
      <c r="EQ36" s="32">
        <v>8.5615518524508577E-2</v>
      </c>
      <c r="ER36" s="32">
        <v>4.553103751956767E-2</v>
      </c>
      <c r="ES36" s="32">
        <v>1.8349788003946082E-2</v>
      </c>
      <c r="ET36" s="32">
        <v>4.3697036132612282E-3</v>
      </c>
      <c r="EU36" s="32">
        <v>3.0712026554422655E-4</v>
      </c>
      <c r="EV36" s="32">
        <v>5.0639651558056749E-7</v>
      </c>
      <c r="EW36" s="32">
        <v>0</v>
      </c>
      <c r="EX36" s="32"/>
      <c r="EY36" s="32">
        <v>-2.5110295533565141E-2</v>
      </c>
      <c r="EZ36" s="32">
        <v>-2.1073583422156969E-2</v>
      </c>
      <c r="FA36" s="32">
        <v>-1.6961939197201542E-2</v>
      </c>
      <c r="FB36" s="32">
        <v>-1.2876023471833246E-2</v>
      </c>
      <c r="FC36" s="32">
        <v>-8.9658150458051047E-3</v>
      </c>
      <c r="FD36" s="32">
        <v>-5.4483416433862147E-3</v>
      </c>
      <c r="FE36" s="32">
        <v>-2.6167446257252605E-3</v>
      </c>
      <c r="FF36" s="32">
        <v>-7.9060747798995038E-4</v>
      </c>
      <c r="FG36" s="32">
        <v>-7.7993508542947536E-5</v>
      </c>
      <c r="FH36" s="32">
        <v>-2.0433394439478725E-7</v>
      </c>
      <c r="FI36" s="32">
        <v>0</v>
      </c>
      <c r="FJ36" s="32"/>
      <c r="FK36" s="32">
        <v>52.504722787453098</v>
      </c>
      <c r="FL36" s="32">
        <v>52.419619547977241</v>
      </c>
      <c r="FM36" s="32">
        <v>52.316930083715505</v>
      </c>
      <c r="FN36" s="32">
        <v>52.194716998708635</v>
      </c>
      <c r="FO36" s="32">
        <v>52.05010791130028</v>
      </c>
      <c r="FP36" s="32">
        <v>51.878414376649992</v>
      </c>
      <c r="FQ36" s="32">
        <v>51.671378738059794</v>
      </c>
      <c r="FR36" s="32">
        <v>51.413813838123112</v>
      </c>
      <c r="FS36" s="32">
        <v>51.077828279541905</v>
      </c>
      <c r="FT36" s="32">
        <v>50.61637009486811</v>
      </c>
      <c r="FU36" s="32">
        <v>50</v>
      </c>
      <c r="FV36" s="32"/>
      <c r="FW36" s="32">
        <v>0.76907529873325231</v>
      </c>
      <c r="FX36" s="32">
        <v>0.79129929841488433</v>
      </c>
      <c r="FY36" s="32">
        <v>0.81444430237027632</v>
      </c>
      <c r="FZ36" s="32">
        <v>0.83853352844952056</v>
      </c>
      <c r="GA36" s="32">
        <v>0.86356105942520855</v>
      </c>
      <c r="GB36" s="32">
        <v>0.88946130935477541</v>
      </c>
      <c r="GC36" s="32">
        <v>0.91605747230763868</v>
      </c>
      <c r="GD36" s="32">
        <v>0.94298128971416872</v>
      </c>
      <c r="GE36" s="32">
        <v>0.96945414100917304</v>
      </c>
      <c r="GF36" s="32">
        <v>0.99257879905755431</v>
      </c>
      <c r="GG36" s="32">
        <v>1</v>
      </c>
      <c r="GH36" s="32"/>
      <c r="GI36" s="32">
        <v>0.22266112201135685</v>
      </c>
      <c r="GJ36" s="32">
        <v>0.18743234601396297</v>
      </c>
      <c r="GK36" s="32">
        <v>0.14960976075207466</v>
      </c>
      <c r="GL36" s="32">
        <v>0.11082860437247719</v>
      </c>
      <c r="GM36" s="32">
        <v>7.3596325382788638E-2</v>
      </c>
      <c r="GN36" s="32">
        <v>4.1254296112415774E-2</v>
      </c>
      <c r="GO36" s="32">
        <v>1.7400114343023874E-2</v>
      </c>
      <c r="GP36" s="32">
        <v>4.2833594148830121E-3</v>
      </c>
      <c r="GQ36" s="32">
        <v>3.060318818701597E-4</v>
      </c>
      <c r="GR36" s="32">
        <v>5.062992636953357E-7</v>
      </c>
      <c r="GS36" s="32">
        <v>0</v>
      </c>
      <c r="GT36" s="32"/>
      <c r="GU36" s="32">
        <v>-1.6178258398888964E-2</v>
      </c>
      <c r="GV36" s="32">
        <v>-1.4414421892632437E-2</v>
      </c>
      <c r="GW36" s="32">
        <v>-1.2352083121479382E-2</v>
      </c>
      <c r="GX36" s="32">
        <v>-1.0004595984973101E-2</v>
      </c>
      <c r="GY36" s="32">
        <v>-7.4381955215877052E-3</v>
      </c>
      <c r="GZ36" s="32">
        <v>-4.815703903879389E-3</v>
      </c>
      <c r="HA36" s="32">
        <v>-2.4466615480900041E-3</v>
      </c>
      <c r="HB36" s="32">
        <v>-7.7081335609845256E-4</v>
      </c>
      <c r="HC36" s="32">
        <v>-7.7649876926387233E-5</v>
      </c>
      <c r="HD36" s="32">
        <v>-2.0429021873230888E-7</v>
      </c>
      <c r="HE36" s="32">
        <v>0</v>
      </c>
    </row>
    <row r="37" spans="1:213" ht="20.350000000000001" customHeight="1" x14ac:dyDescent="0.45">
      <c r="W37" s="32">
        <v>0</v>
      </c>
      <c r="X37" s="32">
        <v>0</v>
      </c>
      <c r="Y37" s="32">
        <v>0</v>
      </c>
      <c r="Z37" s="32">
        <v>0</v>
      </c>
      <c r="AA37" s="32">
        <v>0</v>
      </c>
      <c r="AB37" s="32">
        <v>0</v>
      </c>
      <c r="AC37" s="32">
        <v>0</v>
      </c>
      <c r="AD37" s="32">
        <v>0</v>
      </c>
      <c r="AE37" s="32">
        <v>0</v>
      </c>
      <c r="AF37" s="32">
        <v>0</v>
      </c>
      <c r="AG37" s="32">
        <v>0</v>
      </c>
      <c r="AH37" s="32"/>
      <c r="AI37" s="32">
        <v>-1.3239309144608526E-4</v>
      </c>
      <c r="AJ37" s="32">
        <v>-6.6153339620576441E-5</v>
      </c>
      <c r="AK37" s="32">
        <v>-2.7874490998111812E-5</v>
      </c>
      <c r="AL37" s="32">
        <v>-9.2265858583969154E-6</v>
      </c>
      <c r="AM37" s="32">
        <v>-2.1364809830519684E-6</v>
      </c>
      <c r="AN37" s="32">
        <v>-2.8285193504483425E-7</v>
      </c>
      <c r="AO37" s="32">
        <v>-1.4695193965561246E-8</v>
      </c>
      <c r="AP37" s="32">
        <v>-1.423393762752773E-10</v>
      </c>
      <c r="AQ37" s="32">
        <v>-5.9451210642272397E-14</v>
      </c>
      <c r="AR37" s="32">
        <v>-6.8997517555622822E-20</v>
      </c>
      <c r="AS37" s="32">
        <v>0</v>
      </c>
      <c r="AT37" s="32"/>
      <c r="AU37" s="32">
        <v>0.95122942450071402</v>
      </c>
      <c r="AV37" s="32">
        <v>0.95599748183309985</v>
      </c>
      <c r="AW37" s="32">
        <v>0.96078943915232318</v>
      </c>
      <c r="AX37" s="32">
        <v>0.96560541625756646</v>
      </c>
      <c r="AY37" s="32">
        <v>0.97044553354850815</v>
      </c>
      <c r="AZ37" s="32">
        <v>0.97530991202833262</v>
      </c>
      <c r="BA37" s="32">
        <v>0.98019867330675525</v>
      </c>
      <c r="BB37" s="32">
        <v>0.98511193960306265</v>
      </c>
      <c r="BC37" s="32">
        <v>0.99004983374916811</v>
      </c>
      <c r="BD37" s="32">
        <v>0.99501247919268232</v>
      </c>
      <c r="BE37" s="32">
        <v>1</v>
      </c>
      <c r="BF37" s="32"/>
      <c r="BG37" s="32">
        <v>2.9214850122527558E-5</v>
      </c>
      <c r="BH37" s="32">
        <v>1.6147960586354593E-5</v>
      </c>
      <c r="BI37" s="32">
        <v>7.6326751760058542E-6</v>
      </c>
      <c r="BJ37" s="32">
        <v>2.8852276208191086E-6</v>
      </c>
      <c r="BK37" s="32">
        <v>7.8103782064076199E-7</v>
      </c>
      <c r="BL37" s="32">
        <v>1.2472996702150851E-7</v>
      </c>
      <c r="BM37" s="32">
        <v>8.1661397643983946E-9</v>
      </c>
      <c r="BN37" s="32">
        <v>1.2479006716858976E-10</v>
      </c>
      <c r="BO37" s="32">
        <v>1.716626840675417E-11</v>
      </c>
      <c r="BP37" s="32">
        <v>1.2113310354777695E-11</v>
      </c>
      <c r="BQ37" s="32">
        <v>0</v>
      </c>
      <c r="BR37" s="32"/>
      <c r="BS37" s="32">
        <v>0</v>
      </c>
      <c r="BT37" s="32">
        <v>0</v>
      </c>
      <c r="BU37" s="32">
        <v>0</v>
      </c>
      <c r="BV37" s="32">
        <v>0</v>
      </c>
      <c r="BW37" s="32">
        <v>0</v>
      </c>
      <c r="BX37" s="32">
        <v>0</v>
      </c>
      <c r="BY37" s="32">
        <v>0</v>
      </c>
      <c r="BZ37" s="32">
        <v>0</v>
      </c>
      <c r="CA37" s="32">
        <v>0</v>
      </c>
      <c r="CB37" s="32">
        <v>0</v>
      </c>
      <c r="CC37" s="32">
        <v>0</v>
      </c>
      <c r="CD37" s="32"/>
      <c r="CE37" s="32">
        <v>-2.4405704981654713E-5</v>
      </c>
      <c r="CF37" s="32">
        <v>-1.323483243665324E-5</v>
      </c>
      <c r="CG37" s="32">
        <v>-6.10894773711197E-6</v>
      </c>
      <c r="CH37" s="32">
        <v>-2.2403144579675274E-6</v>
      </c>
      <c r="CI37" s="32">
        <v>-5.8273820432946346E-7</v>
      </c>
      <c r="CJ37" s="32">
        <v>-8.8119633144445326E-8</v>
      </c>
      <c r="CK37" s="32">
        <v>-5.3275888902989973E-9</v>
      </c>
      <c r="CL37" s="32">
        <v>-6.0959869903256708E-11</v>
      </c>
      <c r="CM37" s="32">
        <v>-2.9962060013391483E-14</v>
      </c>
      <c r="CN37" s="32">
        <v>-3.9676559683257901E-20</v>
      </c>
      <c r="CO37" s="32">
        <v>0</v>
      </c>
      <c r="CP37" s="32"/>
      <c r="CQ37" s="32">
        <v>0</v>
      </c>
      <c r="CR37" s="32">
        <v>0</v>
      </c>
      <c r="CS37" s="32">
        <v>0</v>
      </c>
      <c r="CT37" s="32">
        <v>0</v>
      </c>
      <c r="CU37" s="32">
        <v>0</v>
      </c>
      <c r="CV37" s="32">
        <v>0</v>
      </c>
      <c r="CW37" s="32">
        <v>0</v>
      </c>
      <c r="CX37" s="32">
        <v>0</v>
      </c>
      <c r="CY37" s="32">
        <v>0</v>
      </c>
      <c r="CZ37" s="32">
        <v>0</v>
      </c>
      <c r="DA37" s="32">
        <v>0</v>
      </c>
      <c r="DB37" s="32"/>
      <c r="DC37" s="32">
        <v>-1.1834006791060444E-3</v>
      </c>
      <c r="DD37" s="32">
        <v>-9.7828146851475445E-4</v>
      </c>
      <c r="DE37" s="32">
        <v>-7.6101674503894047E-4</v>
      </c>
      <c r="DF37" s="32">
        <v>-5.4255362030373956E-4</v>
      </c>
      <c r="DG37" s="32">
        <v>-3.3919412466989286E-4</v>
      </c>
      <c r="DH37" s="32">
        <v>-1.7173010363661761E-4</v>
      </c>
      <c r="DI37" s="32">
        <v>-6.0049169769375038E-5</v>
      </c>
      <c r="DJ37" s="32">
        <v>-1.0053856325923213E-5</v>
      </c>
      <c r="DK37" s="32">
        <v>-2.9360127272975625E-7</v>
      </c>
      <c r="DL37" s="32">
        <v>-7.0105204796256415E-11</v>
      </c>
      <c r="DM37" s="32">
        <v>0</v>
      </c>
      <c r="DN37" s="32"/>
      <c r="DO37" s="32">
        <v>28.536882735021422</v>
      </c>
      <c r="DP37" s="32">
        <v>28.679924454992996</v>
      </c>
      <c r="DQ37" s="32">
        <v>28.823683174569695</v>
      </c>
      <c r="DR37" s="32">
        <v>28.968162487726993</v>
      </c>
      <c r="DS37" s="32">
        <v>29.113366006455244</v>
      </c>
      <c r="DT37" s="32">
        <v>29.259297360849978</v>
      </c>
      <c r="DU37" s="32">
        <v>29.405960199202656</v>
      </c>
      <c r="DV37" s="32">
        <v>29.553358188091881</v>
      </c>
      <c r="DW37" s="32">
        <v>29.701495012475043</v>
      </c>
      <c r="DX37" s="32">
        <v>29.850374375780468</v>
      </c>
      <c r="DY37" s="32">
        <v>30</v>
      </c>
      <c r="DZ37" s="32"/>
      <c r="EA37" s="32">
        <v>1.1593474021310612E-2</v>
      </c>
      <c r="EB37" s="32">
        <v>8.8102229044260127E-3</v>
      </c>
      <c r="EC37" s="32">
        <v>6.2404012046961554E-3</v>
      </c>
      <c r="ED37" s="32">
        <v>4.0019967831383951E-3</v>
      </c>
      <c r="EE37" s="32">
        <v>2.2149553194239502E-3</v>
      </c>
      <c r="EF37" s="32">
        <v>9.7145805630560744E-4</v>
      </c>
      <c r="EG37" s="32">
        <v>2.8543196343377986E-4</v>
      </c>
      <c r="EH37" s="32">
        <v>3.8448293768311714E-5</v>
      </c>
      <c r="EI37" s="32">
        <v>8.5682163941669387E-7</v>
      </c>
      <c r="EJ37" s="32">
        <v>5.1866422268176393E-10</v>
      </c>
      <c r="EK37" s="32">
        <v>0</v>
      </c>
      <c r="EL37" s="32"/>
      <c r="EM37" s="32">
        <v>0</v>
      </c>
      <c r="EN37" s="32">
        <v>0</v>
      </c>
      <c r="EO37" s="32">
        <v>0</v>
      </c>
      <c r="EP37" s="32">
        <v>0</v>
      </c>
      <c r="EQ37" s="32">
        <v>0</v>
      </c>
      <c r="ER37" s="32">
        <v>0</v>
      </c>
      <c r="ES37" s="32">
        <v>0</v>
      </c>
      <c r="ET37" s="32">
        <v>0</v>
      </c>
      <c r="EU37" s="32">
        <v>0</v>
      </c>
      <c r="EV37" s="32">
        <v>0</v>
      </c>
      <c r="EW37" s="32">
        <v>0</v>
      </c>
      <c r="EX37" s="32"/>
      <c r="EY37" s="32">
        <v>-1.1593472954330252E-2</v>
      </c>
      <c r="EZ37" s="32">
        <v>-8.8102218830188681E-3</v>
      </c>
      <c r="FA37" s="32">
        <v>-6.2404002328541666E-3</v>
      </c>
      <c r="FB37" s="32">
        <v>-4.0019958655873938E-3</v>
      </c>
      <c r="FC37" s="32">
        <v>-2.2149544619306321E-3</v>
      </c>
      <c r="FD37" s="32">
        <v>-9.7145726607785355E-4</v>
      </c>
      <c r="FE37" s="32">
        <v>-2.8543124992997033E-4</v>
      </c>
      <c r="FF37" s="32">
        <v>-3.8447670185033689E-5</v>
      </c>
      <c r="FG37" s="32">
        <v>-8.5630843572716239E-7</v>
      </c>
      <c r="FH37" s="32">
        <v>-1.5526403041787022E-10</v>
      </c>
      <c r="FI37" s="32">
        <v>0</v>
      </c>
      <c r="FJ37" s="32"/>
      <c r="FK37" s="32">
        <v>66.586059715049984</v>
      </c>
      <c r="FL37" s="32">
        <v>66.919823728316985</v>
      </c>
      <c r="FM37" s="32">
        <v>67.255260740662621</v>
      </c>
      <c r="FN37" s="32">
        <v>67.592379138029656</v>
      </c>
      <c r="FO37" s="32">
        <v>67.931187348395568</v>
      </c>
      <c r="FP37" s="32">
        <v>68.271693841983279</v>
      </c>
      <c r="FQ37" s="32">
        <v>68.613907131472871</v>
      </c>
      <c r="FR37" s="32">
        <v>68.957835772214381</v>
      </c>
      <c r="FS37" s="32">
        <v>69.303488362441769</v>
      </c>
      <c r="FT37" s="32">
        <v>69.650873543487762</v>
      </c>
      <c r="FU37" s="32">
        <v>70</v>
      </c>
      <c r="FV37" s="32"/>
      <c r="FW37" s="32">
        <v>0.63489402703801545</v>
      </c>
      <c r="FX37" s="32">
        <v>0.65406478295737713</v>
      </c>
      <c r="FY37" s="32">
        <v>0.67416695195836951</v>
      </c>
      <c r="FZ37" s="32">
        <v>0.69533107077499778</v>
      </c>
      <c r="GA37" s="32">
        <v>0.71777136152608989</v>
      </c>
      <c r="GB37" s="32">
        <v>0.74186552189297572</v>
      </c>
      <c r="GC37" s="32">
        <v>0.76830787659683608</v>
      </c>
      <c r="GD37" s="32">
        <v>0.79839894407692213</v>
      </c>
      <c r="GE37" s="32">
        <v>0.83467334490362077</v>
      </c>
      <c r="GF37" s="32">
        <v>0.8833237079786187</v>
      </c>
      <c r="GG37" s="32">
        <v>1</v>
      </c>
      <c r="GH37" s="32"/>
      <c r="GI37" s="32">
        <v>0</v>
      </c>
      <c r="GJ37" s="32">
        <v>0</v>
      </c>
      <c r="GK37" s="32">
        <v>0</v>
      </c>
      <c r="GL37" s="32">
        <v>0</v>
      </c>
      <c r="GM37" s="32">
        <v>0</v>
      </c>
      <c r="GN37" s="32">
        <v>0</v>
      </c>
      <c r="GO37" s="32">
        <v>0</v>
      </c>
      <c r="GP37" s="32">
        <v>0</v>
      </c>
      <c r="GQ37" s="32">
        <v>0</v>
      </c>
      <c r="GR37" s="32">
        <v>0</v>
      </c>
      <c r="GS37" s="32">
        <v>0</v>
      </c>
      <c r="GT37" s="32"/>
      <c r="GU37" s="32">
        <v>-8.335376512098128E-3</v>
      </c>
      <c r="GV37" s="32">
        <v>-6.6966067893119621E-3</v>
      </c>
      <c r="GW37" s="32">
        <v>-5.0151283054916326E-3</v>
      </c>
      <c r="GX37" s="32">
        <v>-3.3964877587749965E-3</v>
      </c>
      <c r="GY37" s="32">
        <v>-1.9788789839826461E-3</v>
      </c>
      <c r="GZ37" s="32">
        <v>-9.0811480619376161E-4</v>
      </c>
      <c r="HA37" s="32">
        <v>-2.7644627079047014E-4</v>
      </c>
      <c r="HB37" s="32">
        <v>-3.8065737177719383E-5</v>
      </c>
      <c r="HC37" s="32">
        <v>-8.5502493496289032E-7</v>
      </c>
      <c r="HD37" s="32">
        <v>-1.5524720377708847E-10</v>
      </c>
      <c r="HE37" s="32">
        <v>0</v>
      </c>
    </row>
    <row r="38" spans="1:213" ht="46.9" x14ac:dyDescent="0.45">
      <c r="A38" s="41" t="s">
        <v>128</v>
      </c>
    </row>
    <row r="39" spans="1:213" ht="20.350000000000001" customHeight="1" thickBot="1" x14ac:dyDescent="0.5"/>
    <row r="40" spans="1:213" ht="20.350000000000001" customHeight="1" thickTop="1" thickBot="1" x14ac:dyDescent="0.5">
      <c r="A40" s="42" t="s">
        <v>27</v>
      </c>
      <c r="B40" s="14" t="s">
        <v>69</v>
      </c>
    </row>
    <row r="41" spans="1:213" ht="20.350000000000001" customHeight="1" thickTop="1" thickBot="1" x14ac:dyDescent="0.5"/>
    <row r="42" spans="1:213" ht="20.350000000000001" customHeight="1" thickTop="1" thickBot="1" x14ac:dyDescent="0.5">
      <c r="A42" s="42" t="s">
        <v>0</v>
      </c>
      <c r="E42" s="70"/>
      <c r="F42" s="70"/>
      <c r="G42" s="70"/>
      <c r="H42" s="70"/>
      <c r="I42" s="70"/>
      <c r="J42" s="70"/>
      <c r="K42" s="70"/>
      <c r="L42" s="70"/>
      <c r="M42" s="70"/>
      <c r="N42" s="70"/>
      <c r="O42" s="70"/>
    </row>
    <row r="43" spans="1:213" ht="20.350000000000001" customHeight="1" thickTop="1" thickBot="1" x14ac:dyDescent="0.5">
      <c r="A43" s="56" t="s">
        <v>129</v>
      </c>
      <c r="B43" s="14" t="s">
        <v>131</v>
      </c>
      <c r="C43" s="14">
        <v>0.2</v>
      </c>
      <c r="E43" s="68"/>
      <c r="F43" s="53"/>
      <c r="G43" s="53"/>
      <c r="H43" s="53"/>
      <c r="I43" s="53"/>
      <c r="J43" s="53"/>
      <c r="K43" s="53"/>
      <c r="L43" s="53"/>
      <c r="M43" s="53"/>
      <c r="N43" s="54"/>
      <c r="O43" s="69"/>
    </row>
    <row r="44" spans="1:213" ht="20.350000000000001" customHeight="1" thickTop="1" thickBot="1" x14ac:dyDescent="0.5">
      <c r="A44" s="14" t="s">
        <v>130</v>
      </c>
      <c r="B44" s="14" t="s">
        <v>132</v>
      </c>
      <c r="C44" s="14">
        <v>10</v>
      </c>
      <c r="E44" s="60"/>
      <c r="F44" s="52"/>
      <c r="G44" s="52"/>
      <c r="H44" s="52"/>
      <c r="I44" s="52"/>
      <c r="J44" s="52"/>
      <c r="K44" s="52"/>
      <c r="L44" s="52"/>
      <c r="M44" s="52"/>
      <c r="N44" s="55"/>
      <c r="O44" s="66"/>
    </row>
    <row r="45" spans="1:213" ht="20.350000000000001" customHeight="1" thickTop="1" thickBot="1" x14ac:dyDescent="0.5">
      <c r="A45" s="14" t="s">
        <v>2</v>
      </c>
      <c r="B45" s="49" t="s">
        <v>3</v>
      </c>
      <c r="C45" s="14">
        <v>0.05</v>
      </c>
      <c r="E45" s="60"/>
      <c r="F45" s="52"/>
      <c r="G45" s="52"/>
      <c r="H45" s="52"/>
      <c r="I45" s="52"/>
      <c r="J45" s="52"/>
      <c r="K45" s="52"/>
      <c r="L45" s="52"/>
      <c r="M45" s="52"/>
      <c r="N45" s="55"/>
      <c r="O45" s="66"/>
    </row>
    <row r="46" spans="1:213" ht="20.350000000000001" customHeight="1" thickTop="1" thickBot="1" x14ac:dyDescent="0.5">
      <c r="A46" s="14" t="s">
        <v>6</v>
      </c>
      <c r="B46" s="14" t="s">
        <v>7</v>
      </c>
      <c r="C46" s="14">
        <v>1</v>
      </c>
      <c r="E46" s="60"/>
      <c r="F46" s="52"/>
      <c r="G46" s="52"/>
      <c r="H46" s="52"/>
      <c r="I46" s="52"/>
      <c r="J46" s="52"/>
      <c r="K46" s="52"/>
      <c r="L46" s="52"/>
      <c r="M46" s="52"/>
      <c r="N46" s="55"/>
      <c r="O46" s="66"/>
    </row>
    <row r="47" spans="1:213" ht="20.350000000000001" customHeight="1" thickTop="1" thickBot="1" x14ac:dyDescent="0.5">
      <c r="A47" s="14" t="str">
        <f>IF(OR(B40="Double-Digital",
       B40="Bull Spread",
       B40="Bear Spread",
       B40="Strangle",
       B40="Butterfly"),
    "Strike inf",
    "Strike")</f>
        <v>Strike inf</v>
      </c>
      <c r="B47" s="14" t="str">
        <f>IF(OR(B40="Double-Digital",
       B40="Bull Spread",
       B40="Bear Spread",
       B40="Strangle",
       B40="Butterfly"), "K"&amp;_xlfn.UNICHAR(8321), "K")</f>
        <v>K₁</v>
      </c>
      <c r="C47" s="14">
        <v>100</v>
      </c>
      <c r="E47" s="62"/>
      <c r="F47" s="63"/>
      <c r="G47" s="63"/>
      <c r="H47" s="63"/>
      <c r="I47" s="63"/>
      <c r="J47" s="63"/>
      <c r="K47" s="63"/>
      <c r="L47" s="63"/>
      <c r="M47" s="63"/>
      <c r="N47" s="65"/>
      <c r="O47" s="67"/>
    </row>
    <row r="48" spans="1:213" ht="20.350000000000001" customHeight="1" thickTop="1" thickBot="1" x14ac:dyDescent="0.5">
      <c r="A48" s="14" t="s">
        <v>26</v>
      </c>
      <c r="B48" s="14" t="s">
        <v>29</v>
      </c>
      <c r="C48" s="14">
        <v>130</v>
      </c>
    </row>
    <row r="49" spans="1:237" ht="20.350000000000001" customHeight="1" thickTop="1" thickBot="1" x14ac:dyDescent="0.5"/>
    <row r="50" spans="1:237" ht="20.350000000000001" customHeight="1" thickTop="1" thickBot="1" x14ac:dyDescent="0.5">
      <c r="A50" s="50" t="s">
        <v>109</v>
      </c>
      <c r="E50" s="42" t="s">
        <v>104</v>
      </c>
      <c r="F50" s="1"/>
      <c r="G50" s="1"/>
    </row>
    <row r="51" spans="1:237" ht="20.350000000000001" customHeight="1" thickTop="1" thickBot="1" x14ac:dyDescent="0.5">
      <c r="A51" s="14" t="s">
        <v>93</v>
      </c>
      <c r="B51" s="14" t="s">
        <v>97</v>
      </c>
      <c r="C51" s="14">
        <v>0</v>
      </c>
      <c r="E51" s="14" t="s">
        <v>102</v>
      </c>
      <c r="F51" s="14" t="s">
        <v>106</v>
      </c>
      <c r="G51" s="14">
        <v>0</v>
      </c>
    </row>
    <row r="52" spans="1:237" ht="20.350000000000001" customHeight="1" thickTop="1" thickBot="1" x14ac:dyDescent="0.5">
      <c r="A52" s="14" t="s">
        <v>94</v>
      </c>
      <c r="B52" s="14" t="s">
        <v>98</v>
      </c>
      <c r="C52" s="14">
        <v>200</v>
      </c>
      <c r="E52" s="14" t="s">
        <v>101</v>
      </c>
      <c r="F52" s="14" t="s">
        <v>105</v>
      </c>
      <c r="G52" s="14">
        <v>100</v>
      </c>
      <c r="I52" s="51" t="s">
        <v>4</v>
      </c>
      <c r="J52" s="14" t="s">
        <v>133</v>
      </c>
      <c r="K52" s="29" cm="1">
        <f t="array" ref="K52">VolLocal(G51,G52,C43,C44)</f>
        <v>0.29900990099009905</v>
      </c>
    </row>
    <row r="53" spans="1:237" ht="20.350000000000001" customHeight="1" thickTop="1" thickBot="1" x14ac:dyDescent="0.5">
      <c r="A53" s="14" t="s">
        <v>95</v>
      </c>
      <c r="B53" s="14" t="s">
        <v>99</v>
      </c>
      <c r="C53" s="14">
        <v>100</v>
      </c>
      <c r="E53" s="1"/>
      <c r="F53" s="1"/>
      <c r="G53" s="1"/>
    </row>
    <row r="54" spans="1:237" ht="20.350000000000001" customHeight="1" thickTop="1" thickBot="1" x14ac:dyDescent="0.5">
      <c r="A54" s="14" t="s">
        <v>96</v>
      </c>
      <c r="B54" s="14" t="s">
        <v>100</v>
      </c>
      <c r="C54" s="14">
        <v>200</v>
      </c>
      <c r="E54" s="51" t="s">
        <v>38</v>
      </c>
      <c r="F54" s="14" t="s">
        <v>110</v>
      </c>
      <c r="G54" s="29" cm="1">
        <f t="array" ref="G54">_xlfn.SWITCH(
  $B$40,
  "Vanilla Call",    PriceCallEuVL(G51, G52, C43, C44, C46, C45, C47, C51, C52, C53,C54),
  "Vanilla Put",     PricePutEuVL(G51, G52, C43, C44, C46, C45, C47, C51, C52, C53,C54),
  "Digital Call",    PriceCallDigitVL(G51, G52, C43, C44, C46, C45, C47, C51, C52, C53,C54),
  "Digital Put",     PricePutDigitVL(G51, G52, C43, C44, C46, C45, C47, C51, C52, C53,C54),
  "Double-Digital",  DDPriceVL(G51, G52, C43, C44, C46, C45, C47,C48, C51, C52, C53,C54),
  "Bull Spread",     BullPriceVL(G51, G52, C43, C44, C46, C45, C47,C48, C51, C52, C53,C54),
  "Bear Spread",     BearPriceVL(G51, G52, C43, C44, C46, C45, C47,C48, C51, C52, C53,C54),
  "Strangle",        StranglePriceVL(G51, G52, C43, C44, C46, C45, C47,C48, C51, C52, C53,C54),
  "Butterfly",       ButterflyPriceVL(G51, G52, C43, C44, C46, C45, C47,C48, C51, C52, C53,C54))</f>
        <v>9.4445727171976408</v>
      </c>
      <c r="I54" s="51" t="s">
        <v>39</v>
      </c>
      <c r="J54" s="49" t="s">
        <v>107</v>
      </c>
      <c r="K54" s="29" cm="1">
        <f t="array" ref="K54">_xlfn.SWITCH(
  $B$40,
  "Vanilla Call",    DeltaCallEuVL(G51, G52, C43, C44, C46, C45, C47, C51, C52, C53,C54),
  "Vanilla Put",     DeltaPutEuVL(G51, G52, C43, C44, C46, C45, C47, C51, C52, C53,C54),
  "Digital Call",    DeltaCallDigitVL(G51, G52, C43, C44, C46, C45, C47, C51, C52, C53,C54),
  "Digital Put",     DeltaPutDigitVL(G51, G52, C43, C44, C46, C45, C47, C51, C52, C53,C54),
  "Double-Digital",  DDDeltaVL(G51, G52, C43, C44, C46, C45, C47,C48, C51, C52, C53,C54),
  "Bull Spread",     BullDeltaVL(G51, G52, C43, C44, C46, C45, C47,C48, C51, C52, C53,C54),
  "Bear Spread",     BearDeltaVL(G51, G52, C43, C44, C46, C45, C47,C48, C51, C52, C53,C54),
  "Strangle",        StrangleDeltaVL(G51, G52, C43, C44, C46, C45, C47,C48, C51, C52, C53,C54),
  "Butterfly",       ButterflyDeltaVL(G51, G52, C43, C44, C46, C45, C47,C48, C51, C52, C53,C54))</f>
        <v>-0.19487894315725107</v>
      </c>
      <c r="M54" s="51" t="s">
        <v>103</v>
      </c>
      <c r="N54" s="14" t="s">
        <v>108</v>
      </c>
      <c r="O54" s="29">
        <f>G54-K54*G52</f>
        <v>28.932467032922748</v>
      </c>
    </row>
    <row r="55" spans="1:237" ht="20.350000000000001" customHeight="1" thickTop="1" x14ac:dyDescent="0.45"/>
    <row r="57" spans="1:237" ht="20.350000000000001" customHeight="1" x14ac:dyDescent="0.45">
      <c r="V57" s="32"/>
      <c r="W57" s="32">
        <v>0</v>
      </c>
      <c r="X57" s="32">
        <f>0.1*$C$46</f>
        <v>0.1</v>
      </c>
      <c r="Y57" s="32">
        <f>0.2*$C$46</f>
        <v>0.2</v>
      </c>
      <c r="Z57" s="32">
        <f>0.3*$C$46</f>
        <v>0.3</v>
      </c>
      <c r="AA57" s="32">
        <f>0.4*$C$46</f>
        <v>0.4</v>
      </c>
      <c r="AB57" s="32">
        <f>0.5*$C$46</f>
        <v>0.5</v>
      </c>
      <c r="AC57" s="32">
        <f>0.6*$C$46</f>
        <v>0.6</v>
      </c>
      <c r="AD57" s="32">
        <f>0.7*$C$46</f>
        <v>0.7</v>
      </c>
      <c r="AE57" s="32">
        <f>0.8*$C$46</f>
        <v>0.8</v>
      </c>
      <c r="AF57" s="32">
        <f>0.9*$C$46</f>
        <v>0.9</v>
      </c>
      <c r="AG57" s="32">
        <f>$C$46</f>
        <v>1</v>
      </c>
      <c r="AH57" s="32"/>
      <c r="AI57" s="32" t="s">
        <v>134</v>
      </c>
      <c r="AJ57" s="32"/>
      <c r="AK57" s="32"/>
      <c r="AL57" s="32"/>
      <c r="AM57" s="32"/>
      <c r="AN57" s="32"/>
      <c r="AO57" s="32"/>
      <c r="AP57" s="32"/>
      <c r="AQ57" s="32"/>
      <c r="AR57" s="32"/>
      <c r="AS57" s="32"/>
      <c r="AT57" s="32"/>
      <c r="AU57" s="32" t="s">
        <v>115</v>
      </c>
      <c r="AV57" s="32"/>
      <c r="AW57" s="32"/>
      <c r="AX57" s="32"/>
      <c r="AY57" s="32"/>
      <c r="AZ57" s="32"/>
      <c r="BA57" s="32"/>
      <c r="BB57" s="32"/>
      <c r="BC57" s="32"/>
      <c r="BD57" s="32"/>
      <c r="BE57" s="32"/>
      <c r="BF57" s="32"/>
      <c r="BG57" s="32" t="s">
        <v>116</v>
      </c>
      <c r="BH57" s="32"/>
      <c r="BI57" s="32"/>
      <c r="BJ57" s="32"/>
      <c r="BK57" s="32"/>
      <c r="BL57" s="32"/>
      <c r="BM57" s="32"/>
      <c r="BN57" s="32"/>
      <c r="BO57" s="32"/>
      <c r="BP57" s="32"/>
      <c r="BQ57" s="32"/>
      <c r="BR57" s="32"/>
      <c r="BS57" s="32" t="s">
        <v>117</v>
      </c>
      <c r="BT57" s="32"/>
      <c r="BU57" s="32"/>
      <c r="BV57" s="32"/>
      <c r="BW57" s="32"/>
      <c r="BX57" s="32"/>
      <c r="BY57" s="32"/>
      <c r="BZ57" s="32"/>
      <c r="CA57" s="32"/>
      <c r="CB57" s="32"/>
      <c r="CC57" s="32"/>
      <c r="CD57" s="32"/>
      <c r="CE57" s="32" t="s">
        <v>118</v>
      </c>
      <c r="CF57" s="32"/>
      <c r="CG57" s="32"/>
      <c r="CH57" s="32"/>
      <c r="CI57" s="32"/>
      <c r="CJ57" s="32"/>
      <c r="CK57" s="32"/>
      <c r="CL57" s="32"/>
      <c r="CM57" s="32"/>
      <c r="CN57" s="32"/>
      <c r="CO57" s="32"/>
      <c r="CP57" s="32"/>
      <c r="CQ57" s="32" t="s">
        <v>135</v>
      </c>
      <c r="CR57" s="32"/>
      <c r="CS57" s="32"/>
      <c r="CT57" s="32"/>
      <c r="CU57" s="32"/>
      <c r="CV57" s="32"/>
      <c r="CW57" s="32"/>
      <c r="CX57" s="32"/>
      <c r="CY57" s="32"/>
      <c r="CZ57" s="32"/>
      <c r="DA57" s="32"/>
      <c r="DB57" s="32"/>
      <c r="DC57" s="32" t="s">
        <v>136</v>
      </c>
      <c r="DD57" s="32"/>
      <c r="DE57" s="32"/>
      <c r="DF57" s="32"/>
      <c r="DG57" s="32"/>
      <c r="DH57" s="32"/>
      <c r="DI57" s="32"/>
      <c r="DJ57" s="32"/>
      <c r="DK57" s="32"/>
      <c r="DL57" s="32"/>
      <c r="DM57" s="32"/>
      <c r="DN57" s="32"/>
      <c r="DO57" s="32" t="s">
        <v>121</v>
      </c>
      <c r="DP57" s="32"/>
      <c r="DQ57" s="32"/>
      <c r="DR57" s="32"/>
      <c r="DS57" s="32"/>
      <c r="DT57" s="32"/>
      <c r="DU57" s="32"/>
      <c r="DV57" s="32"/>
      <c r="DW57" s="32"/>
      <c r="DX57" s="32"/>
      <c r="DY57" s="32"/>
      <c r="DZ57" s="32"/>
      <c r="EA57" s="32" t="s">
        <v>137</v>
      </c>
      <c r="EB57" s="32"/>
      <c r="EC57" s="32"/>
      <c r="ED57" s="32"/>
      <c r="EE57" s="32"/>
      <c r="EF57" s="32"/>
      <c r="EG57" s="32"/>
      <c r="EH57" s="32"/>
      <c r="EI57" s="32"/>
      <c r="EJ57" s="32"/>
      <c r="EK57" s="32"/>
      <c r="EL57" s="32"/>
      <c r="EM57" s="32" t="s">
        <v>73</v>
      </c>
      <c r="EN57" s="32"/>
      <c r="EO57" s="32"/>
      <c r="EP57" s="32"/>
      <c r="EQ57" s="32"/>
      <c r="ER57" s="32"/>
      <c r="ES57" s="32"/>
      <c r="ET57" s="32"/>
      <c r="EU57" s="32"/>
      <c r="EV57" s="32"/>
      <c r="EW57" s="32"/>
      <c r="EX57" s="32"/>
      <c r="EY57" s="32" t="s">
        <v>138</v>
      </c>
      <c r="EZ57" s="32"/>
      <c r="FA57" s="32"/>
      <c r="FB57" s="32"/>
      <c r="FC57" s="32"/>
      <c r="FD57" s="32"/>
      <c r="FE57" s="32"/>
      <c r="FF57" s="32"/>
      <c r="FG57" s="32"/>
      <c r="FH57" s="32"/>
      <c r="FI57" s="32"/>
      <c r="FJ57" s="32"/>
      <c r="FK57" s="32" t="s">
        <v>74</v>
      </c>
      <c r="FL57" s="32"/>
      <c r="FM57" s="32"/>
      <c r="FN57" s="32"/>
      <c r="FO57" s="32"/>
      <c r="FP57" s="32"/>
      <c r="FQ57" s="32"/>
      <c r="FR57" s="32"/>
      <c r="FS57" s="32"/>
      <c r="FT57" s="32"/>
      <c r="FU57" s="32"/>
      <c r="FV57" s="32"/>
      <c r="FW57" s="32" t="s">
        <v>124</v>
      </c>
      <c r="FX57" s="32"/>
      <c r="FY57" s="32"/>
      <c r="FZ57" s="32"/>
      <c r="GA57" s="32"/>
      <c r="GB57" s="32"/>
      <c r="GC57" s="32"/>
      <c r="GD57" s="32"/>
      <c r="GE57" s="32"/>
      <c r="GF57" s="32"/>
      <c r="GG57" s="32"/>
      <c r="GH57" s="32"/>
      <c r="GI57" s="32" t="s">
        <v>69</v>
      </c>
      <c r="GJ57" s="32"/>
      <c r="GK57" s="32"/>
      <c r="GL57" s="32"/>
      <c r="GM57" s="32"/>
      <c r="GN57" s="32"/>
      <c r="GO57" s="32"/>
      <c r="GP57" s="32"/>
      <c r="GQ57" s="32"/>
      <c r="GR57" s="32"/>
      <c r="GS57" s="32"/>
      <c r="GT57" s="32"/>
      <c r="GU57" s="32" t="s">
        <v>139</v>
      </c>
      <c r="GV57" s="32"/>
      <c r="GW57" s="32"/>
      <c r="GX57" s="32"/>
      <c r="GY57" s="32"/>
      <c r="GZ57" s="32"/>
      <c r="HA57" s="32"/>
      <c r="HB57" s="32"/>
      <c r="HC57" s="32"/>
      <c r="HD57" s="32"/>
      <c r="HE57" s="32"/>
      <c r="HF57" s="32"/>
      <c r="HG57" s="32" t="s">
        <v>126</v>
      </c>
      <c r="HH57" s="32"/>
      <c r="HI57" s="32"/>
      <c r="HJ57" s="32"/>
      <c r="HK57" s="32"/>
      <c r="HL57" s="32"/>
      <c r="HM57" s="32"/>
      <c r="HN57" s="32"/>
      <c r="HO57" s="32"/>
      <c r="HP57" s="32"/>
      <c r="HQ57" s="32"/>
      <c r="HR57" s="32"/>
      <c r="HS57" s="32" t="s">
        <v>127</v>
      </c>
      <c r="HT57" s="32"/>
      <c r="HU57" s="32"/>
      <c r="HV57" s="32"/>
      <c r="HW57" s="32"/>
      <c r="HX57" s="32"/>
      <c r="HY57" s="32"/>
      <c r="HZ57" s="32"/>
      <c r="IA57" s="32"/>
      <c r="IB57" s="32"/>
      <c r="IC57" s="32"/>
    </row>
    <row r="58" spans="1:237" ht="20.350000000000001" customHeight="1" x14ac:dyDescent="0.45">
      <c r="V58" s="32">
        <f>AD15*$C$52+AE15*$C$51</f>
        <v>0</v>
      </c>
      <c r="W58" s="32" cm="1">
        <f t="array" ref="W58:AG68">GridPriceCallEuVL($C$43, $C$44, $C$46, $C$45, $C$47, $C$51, $C$52, $C$53,$C$54)</f>
        <v>0</v>
      </c>
      <c r="X58" s="32">
        <v>0</v>
      </c>
      <c r="Y58" s="32">
        <v>0</v>
      </c>
      <c r="Z58" s="32">
        <v>0</v>
      </c>
      <c r="AA58" s="32">
        <v>0</v>
      </c>
      <c r="AB58" s="32">
        <v>0</v>
      </c>
      <c r="AC58" s="32">
        <v>0</v>
      </c>
      <c r="AD58" s="32">
        <v>0</v>
      </c>
      <c r="AE58" s="32">
        <v>0</v>
      </c>
      <c r="AF58" s="32">
        <v>0</v>
      </c>
      <c r="AG58" s="32">
        <v>0</v>
      </c>
      <c r="AH58" s="32"/>
      <c r="AI58" s="32" cm="1">
        <f t="array" ref="AI58:AS68">GridDeltaCallEuVL($C$43, $C$44, $C$46, $C$45, $C$47, $C$51, $C$52, $C$53,$C$54)</f>
        <v>5.6951210391643145E-11</v>
      </c>
      <c r="AJ58" s="32">
        <v>3.2080207473535054E-12</v>
      </c>
      <c r="AK58" s="32">
        <v>1.0154435693594271E-13</v>
      </c>
      <c r="AL58" s="32">
        <v>1.4911578072214721E-15</v>
      </c>
      <c r="AM58" s="32">
        <v>7.7796350725629032E-18</v>
      </c>
      <c r="AN58" s="32">
        <v>9.9454873971897011E-21</v>
      </c>
      <c r="AO58" s="32">
        <v>1.8619339308838264E-24</v>
      </c>
      <c r="AP58" s="32">
        <v>2.481569616169316E-29</v>
      </c>
      <c r="AQ58" s="32">
        <v>7.9108303200531122E-36</v>
      </c>
      <c r="AR58" s="32">
        <v>7.5377242048522318E-45</v>
      </c>
      <c r="AS58" s="32">
        <v>0</v>
      </c>
      <c r="AT58" s="32"/>
      <c r="AU58" s="32" cm="1">
        <f t="array" ref="AU58:BE68">GridPricePutEuVL($C$43, $C$44, $C$46, $C$45, $C$47, $C$51, $C$52, $C$53,$C$54)</f>
        <v>95.122942450071406</v>
      </c>
      <c r="AV58" s="32">
        <v>95.599748183309984</v>
      </c>
      <c r="AW58" s="32">
        <v>96.078943915232315</v>
      </c>
      <c r="AX58" s="32">
        <v>96.560541625756642</v>
      </c>
      <c r="AY58" s="32">
        <v>97.044553354850819</v>
      </c>
      <c r="AZ58" s="32">
        <v>97.530991202833263</v>
      </c>
      <c r="BA58" s="32">
        <v>98.019867330675524</v>
      </c>
      <c r="BB58" s="32">
        <v>98.511193960306258</v>
      </c>
      <c r="BC58" s="32">
        <v>99.004983374916804</v>
      </c>
      <c r="BD58" s="32">
        <v>99.501247919268238</v>
      </c>
      <c r="BE58" s="32">
        <v>100</v>
      </c>
      <c r="BF58" s="32"/>
      <c r="BG58" s="32" cm="1">
        <f t="array" ref="BG58:BQ68">GridDeltaPutEuVL($C$43, $C$44, $C$46, $C$45, $C$47, $C$51, $C$52, $C$53,$C$54)</f>
        <v>-1</v>
      </c>
      <c r="BH58" s="32">
        <v>-1</v>
      </c>
      <c r="BI58" s="32">
        <v>-1</v>
      </c>
      <c r="BJ58" s="32">
        <v>-1</v>
      </c>
      <c r="BK58" s="32">
        <v>-1</v>
      </c>
      <c r="BL58" s="32">
        <v>-1</v>
      </c>
      <c r="BM58" s="32">
        <v>-1</v>
      </c>
      <c r="BN58" s="32">
        <v>-1</v>
      </c>
      <c r="BO58" s="32">
        <v>-1</v>
      </c>
      <c r="BP58" s="32">
        <v>-1</v>
      </c>
      <c r="BQ58" s="32">
        <v>-1</v>
      </c>
      <c r="BR58" s="32"/>
      <c r="BS58" s="32" cm="1">
        <f t="array" ref="BS58:CC68">GridPriceCallDigitVL($C$43, $C$44, $C$46, $C$45, $C$47, $C$51, $C$52, $C$53,$C$54)</f>
        <v>0</v>
      </c>
      <c r="BT58" s="32">
        <v>0</v>
      </c>
      <c r="BU58" s="32">
        <v>0</v>
      </c>
      <c r="BV58" s="32">
        <v>0</v>
      </c>
      <c r="BW58" s="32">
        <v>0</v>
      </c>
      <c r="BX58" s="32">
        <v>0</v>
      </c>
      <c r="BY58" s="32">
        <v>0</v>
      </c>
      <c r="BZ58" s="32">
        <v>0</v>
      </c>
      <c r="CA58" s="32">
        <v>0</v>
      </c>
      <c r="CB58" s="32">
        <v>0</v>
      </c>
      <c r="CC58" s="32">
        <v>0</v>
      </c>
      <c r="CD58" s="32"/>
      <c r="CE58" s="32" cm="1">
        <f t="array" ref="CE58:CO68">GridDeltaCallDigitVL($C$43, $C$44, $C$46, $C$45, $C$47, $C$51, $C$52, $C$53,$C$54)</f>
        <v>1.3999838588519802E-11</v>
      </c>
      <c r="CF58" s="32">
        <v>8.7409870798844541E-13</v>
      </c>
      <c r="CG58" s="32">
        <v>3.0709149929742424E-14</v>
      </c>
      <c r="CH58" s="32">
        <v>5.0108903559898652E-16</v>
      </c>
      <c r="CI58" s="32">
        <v>2.9052107825619602E-18</v>
      </c>
      <c r="CJ58" s="32">
        <v>4.1193909869183041E-21</v>
      </c>
      <c r="CK58" s="32">
        <v>8.5119329505490223E-25</v>
      </c>
      <c r="CL58" s="32">
        <v>1.2419999844279248E-29</v>
      </c>
      <c r="CM58" s="32">
        <v>4.2895169519184025E-36</v>
      </c>
      <c r="CN58" s="32">
        <v>4.3786960956877783E-45</v>
      </c>
      <c r="CO58" s="32">
        <v>0</v>
      </c>
      <c r="CP58" s="32"/>
      <c r="CQ58" s="32" cm="1">
        <f t="array" ref="CQ58:DA68">GridPricePutDigitVL($C$43, $C$44, $C$46, $C$45, $C$47, $C$51, $C$52, $C$53,$C$54)</f>
        <v>0.95122942450071402</v>
      </c>
      <c r="CR58" s="32">
        <v>0.95599748183309985</v>
      </c>
      <c r="CS58" s="32">
        <v>0.96078943915232318</v>
      </c>
      <c r="CT58" s="32">
        <v>0.96560541625756646</v>
      </c>
      <c r="CU58" s="32">
        <v>0.97044553354850815</v>
      </c>
      <c r="CV58" s="32">
        <v>0.97530991202833262</v>
      </c>
      <c r="CW58" s="32">
        <v>0.98019867330675525</v>
      </c>
      <c r="CX58" s="32">
        <v>0.98511193960306265</v>
      </c>
      <c r="CY58" s="32">
        <v>0.99004983374916811</v>
      </c>
      <c r="CZ58" s="32">
        <v>0.99501247919268232</v>
      </c>
      <c r="DA58" s="32">
        <v>1</v>
      </c>
      <c r="DB58" s="32"/>
      <c r="DC58" s="32" cm="1">
        <f t="array" ref="DC58:DM68">GridDeltaPutDigitVL($C$43, $C$44, $C$46, $C$45, $C$47, $C$51, $C$52, $C$53,$C$54)</f>
        <v>-2.3630941647923009E-10</v>
      </c>
      <c r="DD58" s="32">
        <v>-2.1086998813757418E-10</v>
      </c>
      <c r="DE58" s="32">
        <v>-2.0054091720567158E-10</v>
      </c>
      <c r="DF58" s="32">
        <v>-1.9007806439930164E-10</v>
      </c>
      <c r="DG58" s="32">
        <v>-1.7817203268322146E-10</v>
      </c>
      <c r="DH58" s="32">
        <v>-1.6440349082103012E-10</v>
      </c>
      <c r="DI58" s="32">
        <v>-1.4816348148372072E-10</v>
      </c>
      <c r="DJ58" s="32">
        <v>-1.2838474727772109E-10</v>
      </c>
      <c r="DK58" s="32">
        <v>-1.0295408969795972E-10</v>
      </c>
      <c r="DL58" s="32">
        <v>-6.6707417367695143E-11</v>
      </c>
      <c r="DM58" s="32">
        <v>0</v>
      </c>
      <c r="DN58" s="32"/>
      <c r="DO58" s="32" cm="1">
        <f t="array" ref="DO58:DY68">GridDDPriceVL($C$43, $C$44, $C$46, $C$45, $C$47, $C$48, $C$51, $C$52, $C$53,$C$54)</f>
        <v>0</v>
      </c>
      <c r="DP58" s="32">
        <v>0</v>
      </c>
      <c r="DQ58" s="32">
        <v>0</v>
      </c>
      <c r="DR58" s="32">
        <v>0</v>
      </c>
      <c r="DS58" s="32">
        <v>0</v>
      </c>
      <c r="DT58" s="32">
        <v>0</v>
      </c>
      <c r="DU58" s="32">
        <v>0</v>
      </c>
      <c r="DV58" s="32">
        <v>0</v>
      </c>
      <c r="DW58" s="32">
        <v>0</v>
      </c>
      <c r="DX58" s="32">
        <v>0</v>
      </c>
      <c r="DY58" s="32">
        <v>0</v>
      </c>
      <c r="DZ58" s="32"/>
      <c r="EA58" s="32" cm="1">
        <f t="array" ref="EA58:EK68">GridDDDeltaVL($C$43, $C$44, $C$46, $C$45, $C$47, $C$48, $C$51, $C$52, $C$53,$C$54)</f>
        <v>1.3995798383865987E-11</v>
      </c>
      <c r="EB58" s="32">
        <v>8.7400914883177706E-13</v>
      </c>
      <c r="EC58" s="32">
        <v>3.0708201785094812E-14</v>
      </c>
      <c r="ED58" s="32">
        <v>5.0108519045466649E-16</v>
      </c>
      <c r="EE58" s="32">
        <v>2.9052063124819631E-18</v>
      </c>
      <c r="EF58" s="32">
        <v>4.1193899665184056E-21</v>
      </c>
      <c r="EG58" s="32">
        <v>8.5119326716403189E-25</v>
      </c>
      <c r="EH58" s="32">
        <v>1.2419999797657366E-29</v>
      </c>
      <c r="EI58" s="32">
        <v>4.2895169502068495E-36</v>
      </c>
      <c r="EJ58" s="32">
        <v>4.3786960955038515E-45</v>
      </c>
      <c r="EK58" s="32">
        <v>0</v>
      </c>
      <c r="EL58" s="32"/>
      <c r="EM58" s="32" cm="1">
        <f t="array" ref="EM58:EW68">GridBullPriceVL($C$43, $C$44, $C$46, $C$45, $C$47, $C$48, $C$51, $C$52, $C$53,$C$54)</f>
        <v>0</v>
      </c>
      <c r="EN58" s="32">
        <v>0</v>
      </c>
      <c r="EO58" s="32">
        <v>0</v>
      </c>
      <c r="EP58" s="32">
        <v>0</v>
      </c>
      <c r="EQ58" s="32">
        <v>0</v>
      </c>
      <c r="ER58" s="32">
        <v>0</v>
      </c>
      <c r="ES58" s="32">
        <v>0</v>
      </c>
      <c r="ET58" s="32">
        <v>0</v>
      </c>
      <c r="EU58" s="32">
        <v>0</v>
      </c>
      <c r="EV58" s="32">
        <v>0</v>
      </c>
      <c r="EW58" s="32">
        <v>0</v>
      </c>
      <c r="EX58" s="32"/>
      <c r="EY58" s="32" cm="1">
        <f t="array" ref="EY58:FI68">GridBullDeltaVL($C$43, $C$44, $C$46, $C$45, $C$47, $C$48, $C$51, $C$52, $C$53,$C$54)</f>
        <v>5.6938591691336851E-11</v>
      </c>
      <c r="EZ58" s="32">
        <v>3.2077770125160062E-12</v>
      </c>
      <c r="FA58" s="32">
        <v>1.0154211863631837E-13</v>
      </c>
      <c r="FB58" s="32">
        <v>1.4911499691380393E-15</v>
      </c>
      <c r="FC58" s="32">
        <v>7.7796272328411036E-18</v>
      </c>
      <c r="FD58" s="32">
        <v>9.9454858597461531E-21</v>
      </c>
      <c r="FE58" s="32">
        <v>1.8619338947255993E-24</v>
      </c>
      <c r="FF58" s="32">
        <v>2.4815696109438553E-29</v>
      </c>
      <c r="FG58" s="32">
        <v>7.910830318382387E-36</v>
      </c>
      <c r="FH58" s="32">
        <v>7.5377242046944784E-45</v>
      </c>
      <c r="FI58" s="32">
        <v>0</v>
      </c>
      <c r="FJ58" s="32"/>
      <c r="FK58" s="32" cm="1">
        <f t="array" ref="FK58:FU68">GridbearPriceVL($C$43, $C$44, $C$46, $C$45, $C$47, $C$48, $C$51, $C$52, $C$53,$C$54)</f>
        <v>28.536882735021422</v>
      </c>
      <c r="FL58" s="32">
        <v>28.679924454992996</v>
      </c>
      <c r="FM58" s="32">
        <v>28.823683174569695</v>
      </c>
      <c r="FN58" s="32">
        <v>28.968162487726993</v>
      </c>
      <c r="FO58" s="32">
        <v>29.113366006455244</v>
      </c>
      <c r="FP58" s="32">
        <v>29.259297360849978</v>
      </c>
      <c r="FQ58" s="32">
        <v>29.405960199202656</v>
      </c>
      <c r="FR58" s="32">
        <v>29.553358188091881</v>
      </c>
      <c r="FS58" s="32">
        <v>29.701495012475043</v>
      </c>
      <c r="FT58" s="32">
        <v>29.850374375780468</v>
      </c>
      <c r="FU58" s="32">
        <v>30</v>
      </c>
      <c r="FV58" s="32"/>
      <c r="FW58" s="32" cm="1">
        <f t="array" ref="FW58:GG68">GridBearDeltaVL($C$43, $C$44, $C$46, $C$45, $C$47, $C$48, $C$51, $C$52, $C$53,$C$54)</f>
        <v>-6.5893068779132591E-9</v>
      </c>
      <c r="FX58" s="32">
        <v>-6.2932663524861709E-9</v>
      </c>
      <c r="FY58" s="32">
        <v>-6.0150000535941217E-9</v>
      </c>
      <c r="FZ58" s="32">
        <v>-5.7023150645818532E-9</v>
      </c>
      <c r="GA58" s="32">
        <v>-5.3451607584520389E-9</v>
      </c>
      <c r="GB58" s="32">
        <v>-4.932097397158941E-9</v>
      </c>
      <c r="GC58" s="32">
        <v>-4.4449102176713495E-9</v>
      </c>
      <c r="GD58" s="32">
        <v>-3.8515395317517687E-9</v>
      </c>
      <c r="GE58" s="32">
        <v>-3.0886226909387915E-9</v>
      </c>
      <c r="GF58" s="32">
        <v>-2.0012222989862494E-9</v>
      </c>
      <c r="GG58" s="32">
        <v>0</v>
      </c>
      <c r="GH58" s="32"/>
      <c r="GI58" s="32" cm="1">
        <f t="array" ref="GI58:GS68">GridStranglePriceVL($C$43, $C$44, $C$46, $C$45, $C$47, $C$48, $C$51, $C$52, $C$53,$C$54)</f>
        <v>95.122942450071406</v>
      </c>
      <c r="GJ58" s="32">
        <v>95.599748183309984</v>
      </c>
      <c r="GK58" s="32">
        <v>96.078943915232315</v>
      </c>
      <c r="GL58" s="32">
        <v>96.560541625756642</v>
      </c>
      <c r="GM58" s="32">
        <v>97.044553354850819</v>
      </c>
      <c r="GN58" s="32">
        <v>97.530991202833263</v>
      </c>
      <c r="GO58" s="32">
        <v>98.019867330675524</v>
      </c>
      <c r="GP58" s="32">
        <v>98.511193960306258</v>
      </c>
      <c r="GQ58" s="32">
        <v>99.004983374916804</v>
      </c>
      <c r="GR58" s="32">
        <v>99.501247919268238</v>
      </c>
      <c r="GS58" s="32">
        <v>100</v>
      </c>
      <c r="GT58" s="32"/>
      <c r="GU58" s="32" cm="1">
        <f t="array" ref="GU58:HE68">GridStrangleDeltaVL($C$43, $C$44, $C$46, $C$45, $C$47, $C$48, $C$51, $C$52, $C$53,$C$54)</f>
        <v>-1</v>
      </c>
      <c r="GV58" s="32">
        <v>-1</v>
      </c>
      <c r="GW58" s="32">
        <v>-1</v>
      </c>
      <c r="GX58" s="32">
        <v>-1</v>
      </c>
      <c r="GY58" s="32">
        <v>-1</v>
      </c>
      <c r="GZ58" s="32">
        <v>-1</v>
      </c>
      <c r="HA58" s="32">
        <v>-1</v>
      </c>
      <c r="HB58" s="32">
        <v>-1</v>
      </c>
      <c r="HC58" s="32">
        <v>-1</v>
      </c>
      <c r="HD58" s="32">
        <v>-1</v>
      </c>
      <c r="HE58" s="32">
        <v>-1</v>
      </c>
      <c r="HF58" s="32"/>
      <c r="HG58" s="32" cm="1">
        <f t="array" ref="HG58:HQ68">GridButterflyPriceVL($C$43, $C$44, $C$46, $C$45, $C$47, $C$48, $C$51, $C$52, $C$53,$C$54)</f>
        <v>0</v>
      </c>
      <c r="HH58" s="32">
        <v>0</v>
      </c>
      <c r="HI58" s="32">
        <v>0</v>
      </c>
      <c r="HJ58" s="32">
        <v>0</v>
      </c>
      <c r="HK58" s="32">
        <v>0</v>
      </c>
      <c r="HL58" s="32">
        <v>0</v>
      </c>
      <c r="HM58" s="32">
        <v>0</v>
      </c>
      <c r="HN58" s="32">
        <v>0</v>
      </c>
      <c r="HO58" s="32">
        <v>0</v>
      </c>
      <c r="HP58" s="32">
        <v>0</v>
      </c>
      <c r="HQ58" s="32">
        <v>0</v>
      </c>
      <c r="HR58" s="32"/>
      <c r="HS58" s="32" cm="1">
        <f t="array" ref="HS58:IC68">GridButterflyDeltaVL($C$43, $C$44, $C$46, $C$45, $C$47, $C$48, $C$51, $C$52, $C$53,$C$54)</f>
        <v>5.5297468176959192E-11</v>
      </c>
      <c r="HT58" s="32">
        <v>3.1534731443041334E-12</v>
      </c>
      <c r="HU58" s="32">
        <v>1.0061898716895002E-13</v>
      </c>
      <c r="HV58" s="32">
        <v>1.4846023478631845E-15</v>
      </c>
      <c r="HW58" s="32">
        <v>7.7649938750643835E-18</v>
      </c>
      <c r="HX58" s="32">
        <v>9.9384180517350162E-21</v>
      </c>
      <c r="HY58" s="32">
        <v>1.861488652369009E-24</v>
      </c>
      <c r="HZ58" s="32">
        <v>2.4813867563784098E-29</v>
      </c>
      <c r="IA58" s="32">
        <v>7.9106592241671404E-36</v>
      </c>
      <c r="IB58" s="32">
        <v>7.5376768153097289E-45</v>
      </c>
      <c r="IC58" s="32">
        <v>0</v>
      </c>
    </row>
    <row r="59" spans="1:237" ht="20.350000000000001" customHeight="1" x14ac:dyDescent="0.45">
      <c r="V59" s="32">
        <f t="shared" ref="V59:V68" si="2">AD16*$C$52+AE16*$C$51</f>
        <v>20</v>
      </c>
      <c r="W59" s="32">
        <v>1.2847726279247154E-5</v>
      </c>
      <c r="X59" s="32">
        <v>2.3155215117870951E-6</v>
      </c>
      <c r="Y59" s="32">
        <v>2.936201977954096E-7</v>
      </c>
      <c r="Z59" s="32">
        <v>2.278216959886977E-8</v>
      </c>
      <c r="AA59" s="32">
        <v>8.7434842833616748E-10</v>
      </c>
      <c r="AB59" s="32">
        <v>1.1896953860957742E-11</v>
      </c>
      <c r="AC59" s="32">
        <v>3.3908533559639563E-14</v>
      </c>
      <c r="AD59" s="32">
        <v>8.9209180919496969E-18</v>
      </c>
      <c r="AE59" s="32">
        <v>6.1013282427680385E-23</v>
      </c>
      <c r="AF59" s="32">
        <v>1.1324596235834158E-30</v>
      </c>
      <c r="AG59" s="32">
        <v>0</v>
      </c>
      <c r="AH59" s="32"/>
      <c r="AI59" s="32">
        <v>5.5578139536892371E-6</v>
      </c>
      <c r="AJ59" s="32">
        <v>1.1231122090278085E-6</v>
      </c>
      <c r="AK59" s="32">
        <v>1.6140760270518378E-7</v>
      </c>
      <c r="AL59" s="32">
        <v>1.438617275701313E-8</v>
      </c>
      <c r="AM59" s="32">
        <v>6.4475061389198353E-10</v>
      </c>
      <c r="AN59" s="32">
        <v>1.0440835840300345E-11</v>
      </c>
      <c r="AO59" s="32">
        <v>3.609175535703849E-14</v>
      </c>
      <c r="AP59" s="32">
        <v>1.1665510645125587E-17</v>
      </c>
      <c r="AQ59" s="32">
        <v>9.8044036903582689E-23</v>
      </c>
      <c r="AR59" s="32">
        <v>2.2077748441462374E-30</v>
      </c>
      <c r="AS59" s="32">
        <v>0</v>
      </c>
      <c r="AT59" s="32"/>
      <c r="AU59" s="32">
        <v>75.122955199975507</v>
      </c>
      <c r="AV59" s="32">
        <v>75.599750409980956</v>
      </c>
      <c r="AW59" s="32">
        <v>76.078944129221611</v>
      </c>
      <c r="AX59" s="32">
        <v>76.560541578346601</v>
      </c>
      <c r="AY59" s="32">
        <v>77.044553295162871</v>
      </c>
      <c r="AZ59" s="32">
        <v>77.53099115207678</v>
      </c>
      <c r="BA59" s="32">
        <v>78.019867289839866</v>
      </c>
      <c r="BB59" s="32">
        <v>78.511193929521909</v>
      </c>
      <c r="BC59" s="32">
        <v>79.004983354290658</v>
      </c>
      <c r="BD59" s="32">
        <v>79.501247908903437</v>
      </c>
      <c r="BE59" s="32">
        <v>80</v>
      </c>
      <c r="BF59" s="32"/>
      <c r="BG59" s="32">
        <v>-0.99999444248376079</v>
      </c>
      <c r="BH59" s="32">
        <v>-0.9999988770898085</v>
      </c>
      <c r="BI59" s="32">
        <v>-0.99999983871919795</v>
      </c>
      <c r="BJ59" s="32">
        <v>-0.9999999856852142</v>
      </c>
      <c r="BK59" s="32">
        <v>-0.99999999938961537</v>
      </c>
      <c r="BL59" s="32">
        <v>-1</v>
      </c>
      <c r="BM59" s="32">
        <v>-1</v>
      </c>
      <c r="BN59" s="32">
        <v>-1</v>
      </c>
      <c r="BO59" s="32">
        <v>-1</v>
      </c>
      <c r="BP59" s="32">
        <v>-1</v>
      </c>
      <c r="BQ59" s="32">
        <v>-1</v>
      </c>
      <c r="BR59" s="32"/>
      <c r="BS59" s="32">
        <v>2.364203903120695E-6</v>
      </c>
      <c r="BT59" s="32">
        <v>4.8057719067462538E-7</v>
      </c>
      <c r="BU59" s="32">
        <v>6.8987613881817898E-8</v>
      </c>
      <c r="BV59" s="32">
        <v>6.0894256708787558E-9</v>
      </c>
      <c r="BW59" s="32">
        <v>2.673046070185724E-10</v>
      </c>
      <c r="BX59" s="32">
        <v>4.1785447578406693E-12</v>
      </c>
      <c r="BY59" s="32">
        <v>1.3691407821344009E-14</v>
      </c>
      <c r="BZ59" s="32">
        <v>4.112866528051229E-18</v>
      </c>
      <c r="CA59" s="32">
        <v>3.1624361315585508E-23</v>
      </c>
      <c r="CB59" s="32">
        <v>6.4660572734280619E-31</v>
      </c>
      <c r="CC59" s="32">
        <v>0</v>
      </c>
      <c r="CD59" s="32"/>
      <c r="CE59" s="32">
        <v>9.8444049426933994E-7</v>
      </c>
      <c r="CF59" s="32">
        <v>2.2547376868957204E-7</v>
      </c>
      <c r="CG59" s="32">
        <v>3.6854737211025633E-8</v>
      </c>
      <c r="CH59" s="32">
        <v>3.7537694102080401E-9</v>
      </c>
      <c r="CI59" s="32">
        <v>1.9327662619603693E-10</v>
      </c>
      <c r="CJ59" s="32">
        <v>3.611699020471865E-12</v>
      </c>
      <c r="CK59" s="32">
        <v>1.4415818604429077E-14</v>
      </c>
      <c r="CL59" s="32">
        <v>5.3419472404854767E-18</v>
      </c>
      <c r="CM59" s="32">
        <v>5.0641201325905486E-23</v>
      </c>
      <c r="CN59" s="32">
        <v>1.2590104660562917E-30</v>
      </c>
      <c r="CO59" s="32">
        <v>0</v>
      </c>
      <c r="CP59" s="32"/>
      <c r="CQ59" s="32">
        <v>0.95122653348316955</v>
      </c>
      <c r="CR59" s="32">
        <v>0.95599687615530726</v>
      </c>
      <c r="CS59" s="32">
        <v>0.960789348438577</v>
      </c>
      <c r="CT59" s="32">
        <v>0.9656054072686594</v>
      </c>
      <c r="CU59" s="32">
        <v>0.97044553255890786</v>
      </c>
      <c r="CV59" s="32">
        <v>0.97530991151422086</v>
      </c>
      <c r="CW59" s="32">
        <v>0.98019867289837481</v>
      </c>
      <c r="CX59" s="32">
        <v>0.98511193929521867</v>
      </c>
      <c r="CY59" s="32">
        <v>0.99004983354290621</v>
      </c>
      <c r="CZ59" s="32">
        <v>0.99501247908903434</v>
      </c>
      <c r="DA59" s="32">
        <v>1</v>
      </c>
      <c r="DB59" s="32"/>
      <c r="DC59" s="32">
        <v>-1.1924995090839552E-6</v>
      </c>
      <c r="DD59" s="32">
        <v>-2.811640600897114E-7</v>
      </c>
      <c r="DE59" s="32">
        <v>-4.7597188912451571E-8</v>
      </c>
      <c r="DF59" s="32">
        <v>-5.0624837655277588E-9</v>
      </c>
      <c r="DG59" s="32">
        <v>-2.7548818781752971E-10</v>
      </c>
      <c r="DH59" s="32">
        <v>-5.6378235413490074E-12</v>
      </c>
      <c r="DI59" s="32">
        <v>-5.7565063826814367E-14</v>
      </c>
      <c r="DJ59" s="32">
        <v>-4.496403249731884E-15</v>
      </c>
      <c r="DK59" s="32">
        <v>-3.3306690738754696E-16</v>
      </c>
      <c r="DL59" s="32">
        <v>-1.1102230246251565E-16</v>
      </c>
      <c r="DM59" s="32">
        <v>0</v>
      </c>
      <c r="DN59" s="32"/>
      <c r="DO59" s="32">
        <v>2.3583419904474786E-6</v>
      </c>
      <c r="DP59" s="32">
        <v>4.8008125591204002E-7</v>
      </c>
      <c r="DQ59" s="32">
        <v>6.8962690530809258E-8</v>
      </c>
      <c r="DR59" s="32">
        <v>6.0888114998118804E-9</v>
      </c>
      <c r="DS59" s="32">
        <v>2.6729897898647183E-10</v>
      </c>
      <c r="DT59" s="32">
        <v>4.1785318746759183E-12</v>
      </c>
      <c r="DU59" s="32">
        <v>1.3691403618729086E-14</v>
      </c>
      <c r="DV59" s="32">
        <v>4.1128664383988712E-18</v>
      </c>
      <c r="DW59" s="32">
        <v>3.1624361275497195E-23</v>
      </c>
      <c r="DX59" s="32">
        <v>6.4660572729677117E-31</v>
      </c>
      <c r="DY59" s="32">
        <v>0</v>
      </c>
      <c r="DZ59" s="32"/>
      <c r="EA59" s="32">
        <v>9.8139762802059424E-7</v>
      </c>
      <c r="EB59" s="32">
        <v>2.2518346396704986E-7</v>
      </c>
      <c r="EC59" s="32">
        <v>3.6838131279461515E-8</v>
      </c>
      <c r="ED59" s="32">
        <v>3.7532984934752711E-9</v>
      </c>
      <c r="EE59" s="32">
        <v>1.9327160062011444E-10</v>
      </c>
      <c r="EF59" s="32">
        <v>3.6116854745836112E-12</v>
      </c>
      <c r="EG59" s="32">
        <v>1.4415813364960581E-14</v>
      </c>
      <c r="EH59" s="32">
        <v>5.3419471079757079E-18</v>
      </c>
      <c r="EI59" s="32">
        <v>5.064120125620446E-23</v>
      </c>
      <c r="EJ59" s="32">
        <v>1.259010465963342E-30</v>
      </c>
      <c r="EK59" s="32">
        <v>0</v>
      </c>
      <c r="EL59" s="32"/>
      <c r="EM59" s="32">
        <v>1.2822861490593645E-5</v>
      </c>
      <c r="EN59" s="32">
        <v>2.3137161547553039E-6</v>
      </c>
      <c r="EO59" s="32">
        <v>2.9354290424018399E-7</v>
      </c>
      <c r="EP59" s="32">
        <v>2.2780561775002767E-8</v>
      </c>
      <c r="EQ59" s="32">
        <v>8.7433611427503478E-10</v>
      </c>
      <c r="ER59" s="32">
        <v>1.1896930502770424E-11</v>
      </c>
      <c r="ES59" s="32">
        <v>3.3908527271068294E-14</v>
      </c>
      <c r="ET59" s="32">
        <v>8.9209179808816822E-18</v>
      </c>
      <c r="EU59" s="32">
        <v>6.1013282386134277E-23</v>
      </c>
      <c r="EV59" s="32">
        <v>1.132459623542916E-30</v>
      </c>
      <c r="EW59" s="32">
        <v>0</v>
      </c>
      <c r="EX59" s="32"/>
      <c r="EY59" s="32">
        <v>5.5444821168292325E-6</v>
      </c>
      <c r="EZ59" s="32">
        <v>1.1220245976524352E-6</v>
      </c>
      <c r="FA59" s="32">
        <v>1.6135478661236757E-7</v>
      </c>
      <c r="FB59" s="32">
        <v>1.438491278524608E-8</v>
      </c>
      <c r="FC59" s="32">
        <v>6.4473941523847014E-10</v>
      </c>
      <c r="FD59" s="32">
        <v>1.0440810919527918E-11</v>
      </c>
      <c r="FE59" s="32">
        <v>3.6091747431599258E-14</v>
      </c>
      <c r="FF59" s="32">
        <v>1.1665510479768422E-17</v>
      </c>
      <c r="FG59" s="32">
        <v>9.8044036831046271E-23</v>
      </c>
      <c r="FH59" s="32">
        <v>2.2077748440643245E-30</v>
      </c>
      <c r="FI59" s="32">
        <v>0</v>
      </c>
      <c r="FJ59" s="32"/>
      <c r="FK59" s="32">
        <v>28.536869882813217</v>
      </c>
      <c r="FL59" s="32">
        <v>28.679922114621625</v>
      </c>
      <c r="FM59" s="32">
        <v>28.823682857137484</v>
      </c>
      <c r="FN59" s="32">
        <v>28.968162443888733</v>
      </c>
      <c r="FO59" s="32">
        <v>29.113365987412188</v>
      </c>
      <c r="FP59" s="32">
        <v>29.259297345607536</v>
      </c>
      <c r="FQ59" s="32">
        <v>29.405960186951905</v>
      </c>
      <c r="FR59" s="32">
        <v>29.553358178856563</v>
      </c>
      <c r="FS59" s="32">
        <v>29.701495006287182</v>
      </c>
      <c r="FT59" s="32">
        <v>29.850374372671027</v>
      </c>
      <c r="FU59" s="32">
        <v>30</v>
      </c>
      <c r="FV59" s="32"/>
      <c r="FW59" s="32">
        <v>-5.5445714384205758E-6</v>
      </c>
      <c r="FX59" s="32">
        <v>-1.1220852123017266E-6</v>
      </c>
      <c r="FY59" s="32">
        <v>-1.6139282799088051E-7</v>
      </c>
      <c r="FZ59" s="32">
        <v>-1.4406333903593804E-8</v>
      </c>
      <c r="GA59" s="32">
        <v>-6.5505112445407576E-10</v>
      </c>
      <c r="GB59" s="32">
        <v>-1.4352963262354024E-11</v>
      </c>
      <c r="GC59" s="32">
        <v>-1.042721464727947E-12</v>
      </c>
      <c r="GD59" s="32">
        <v>-1.3322676295501878E-13</v>
      </c>
      <c r="GE59" s="32">
        <v>-8.8817841970012523E-15</v>
      </c>
      <c r="GF59" s="32">
        <v>-1.7763568394002505E-15</v>
      </c>
      <c r="GG59" s="32">
        <v>0</v>
      </c>
      <c r="GH59" s="32"/>
      <c r="GI59" s="32">
        <v>75.122955224840254</v>
      </c>
      <c r="GJ59" s="32">
        <v>75.59975041178626</v>
      </c>
      <c r="GK59" s="32">
        <v>76.078944129298876</v>
      </c>
      <c r="GL59" s="32">
        <v>76.560541578348207</v>
      </c>
      <c r="GM59" s="32">
        <v>77.044553295162871</v>
      </c>
      <c r="GN59" s="32">
        <v>77.53099115207678</v>
      </c>
      <c r="GO59" s="32">
        <v>78.019867289839866</v>
      </c>
      <c r="GP59" s="32">
        <v>78.511193929521909</v>
      </c>
      <c r="GQ59" s="32">
        <v>79.004983354290658</v>
      </c>
      <c r="GR59" s="32">
        <v>79.501247908903437</v>
      </c>
      <c r="GS59" s="32">
        <v>80</v>
      </c>
      <c r="GT59" s="32"/>
      <c r="GU59" s="32">
        <v>-0.99999442915193981</v>
      </c>
      <c r="GV59" s="32">
        <v>-0.99999887600220916</v>
      </c>
      <c r="GW59" s="32">
        <v>-0.99999983866637621</v>
      </c>
      <c r="GX59" s="32">
        <v>-0.99999998568396364</v>
      </c>
      <c r="GY59" s="32">
        <v>-0.99999999938960116</v>
      </c>
      <c r="GZ59" s="32">
        <v>-1</v>
      </c>
      <c r="HA59" s="32">
        <v>-1</v>
      </c>
      <c r="HB59" s="32">
        <v>-1</v>
      </c>
      <c r="HC59" s="32">
        <v>-1</v>
      </c>
      <c r="HD59" s="32">
        <v>-1</v>
      </c>
      <c r="HE59" s="32">
        <v>-1</v>
      </c>
      <c r="HF59" s="32"/>
      <c r="HG59" s="32">
        <v>1.1705567346851454E-5</v>
      </c>
      <c r="HH59" s="32">
        <v>2.1829155192503346E-6</v>
      </c>
      <c r="HI59" s="32">
        <v>2.8373424604272287E-7</v>
      </c>
      <c r="HJ59" s="32">
        <v>2.2382243118199444E-8</v>
      </c>
      <c r="HK59" s="32">
        <v>8.6750485195049504E-10</v>
      </c>
      <c r="HL59" s="32">
        <v>1.1862824922391883E-11</v>
      </c>
      <c r="HM59" s="32">
        <v>3.387999105611926E-14</v>
      </c>
      <c r="HN59" s="32">
        <v>8.9191248282016108E-18</v>
      </c>
      <c r="HO59" s="32">
        <v>6.1010714531670002E-23</v>
      </c>
      <c r="HP59" s="32">
        <v>1.1324499620245338E-30</v>
      </c>
      <c r="HQ59" s="32">
        <v>0</v>
      </c>
      <c r="HR59" s="32"/>
      <c r="HS59" s="32">
        <v>5.0040759018220478E-6</v>
      </c>
      <c r="HT59" s="32">
        <v>1.0508667356379146E-6</v>
      </c>
      <c r="HU59" s="32">
        <v>1.5529454744544191E-7</v>
      </c>
      <c r="HV59" s="32">
        <v>1.4102059002129184E-8</v>
      </c>
      <c r="HW59" s="32">
        <v>6.3908580904963168E-10</v>
      </c>
      <c r="HX59" s="32">
        <v>1.0407432230409672E-11</v>
      </c>
      <c r="HY59" s="32">
        <v>3.6058321733210276E-14</v>
      </c>
      <c r="HZ59" s="32">
        <v>1.1662984343302615E-17</v>
      </c>
      <c r="IA59" s="32">
        <v>9.803970783109783E-23</v>
      </c>
      <c r="IB59" s="32">
        <v>2.207755604008768E-30</v>
      </c>
      <c r="IC59" s="32">
        <v>0</v>
      </c>
    </row>
    <row r="60" spans="1:237" ht="20.350000000000001" customHeight="1" x14ac:dyDescent="0.45">
      <c r="V60" s="32">
        <f t="shared" si="2"/>
        <v>40</v>
      </c>
      <c r="W60" s="32">
        <v>8.0478515915559032E-3</v>
      </c>
      <c r="X60" s="32">
        <v>3.1525105174655035E-3</v>
      </c>
      <c r="Y60" s="32">
        <v>1.0251259719119051E-3</v>
      </c>
      <c r="Z60" s="32">
        <v>2.5574730165234136E-4</v>
      </c>
      <c r="AA60" s="32">
        <v>4.3156548738862466E-5</v>
      </c>
      <c r="AB60" s="32">
        <v>3.9767139776424014E-6</v>
      </c>
      <c r="AC60" s="32">
        <v>1.3580348489361714E-7</v>
      </c>
      <c r="AD60" s="32">
        <v>8.216406023974747E-10</v>
      </c>
      <c r="AE60" s="32">
        <v>2.1604481999405845E-13</v>
      </c>
      <c r="AF60" s="32">
        <v>1.7440772732754816E-19</v>
      </c>
      <c r="AG60" s="32">
        <v>0</v>
      </c>
      <c r="AH60" s="32"/>
      <c r="AI60" s="32">
        <v>1.9564814849488505E-3</v>
      </c>
      <c r="AJ60" s="32">
        <v>8.6454971323053501E-4</v>
      </c>
      <c r="AK60" s="32">
        <v>3.2036314703619691E-4</v>
      </c>
      <c r="AL60" s="32">
        <v>9.2326641379061972E-5</v>
      </c>
      <c r="AM60" s="32">
        <v>1.8329132038472871E-5</v>
      </c>
      <c r="AN60" s="32">
        <v>2.0361173277627461E-6</v>
      </c>
      <c r="AO60" s="32">
        <v>8.6538149114906202E-8</v>
      </c>
      <c r="AP60" s="32">
        <v>6.7591784068216248E-10</v>
      </c>
      <c r="AQ60" s="32">
        <v>2.3538464762489326E-13</v>
      </c>
      <c r="AR60" s="32">
        <v>2.4968892685049393E-19</v>
      </c>
      <c r="AS60" s="32">
        <v>0</v>
      </c>
      <c r="AT60" s="32"/>
      <c r="AU60" s="32">
        <v>55.130990202712056</v>
      </c>
      <c r="AV60" s="32">
        <v>55.602900604208585</v>
      </c>
      <c r="AW60" s="32">
        <v>56.079968961138846</v>
      </c>
      <c r="AX60" s="32">
        <v>56.560797302649277</v>
      </c>
      <c r="AY60" s="32">
        <v>57.044596450746369</v>
      </c>
      <c r="AZ60" s="32">
        <v>57.530995128749524</v>
      </c>
      <c r="BA60" s="32">
        <v>58.019867425637166</v>
      </c>
      <c r="BB60" s="32">
        <v>58.511193930342955</v>
      </c>
      <c r="BC60" s="32">
        <v>59.004983354290864</v>
      </c>
      <c r="BD60" s="32">
        <v>59.501247908903437</v>
      </c>
      <c r="BE60" s="32">
        <v>60</v>
      </c>
      <c r="BF60" s="32"/>
      <c r="BG60" s="32">
        <v>-0.99804351845726202</v>
      </c>
      <c r="BH60" s="32">
        <v>-0.99913545028584139</v>
      </c>
      <c r="BI60" s="32">
        <v>-0.99967963685322658</v>
      </c>
      <c r="BJ60" s="32">
        <v>-0.99990767335868114</v>
      </c>
      <c r="BK60" s="32">
        <v>-0.99998167086796386</v>
      </c>
      <c r="BL60" s="32">
        <v>-0.99999796388265949</v>
      </c>
      <c r="BM60" s="32">
        <v>-0.99999991346183492</v>
      </c>
      <c r="BN60" s="32">
        <v>-0.99999999932407491</v>
      </c>
      <c r="BO60" s="32">
        <v>-0.99999999999975842</v>
      </c>
      <c r="BP60" s="32">
        <v>-1</v>
      </c>
      <c r="BQ60" s="32">
        <v>-1</v>
      </c>
      <c r="BR60" s="32"/>
      <c r="BS60" s="32">
        <v>1.0840830589112825E-3</v>
      </c>
      <c r="BT60" s="32">
        <v>4.8238980958500999E-4</v>
      </c>
      <c r="BU60" s="32">
        <v>1.7918043401677332E-4</v>
      </c>
      <c r="BV60" s="32">
        <v>5.147048191488016E-5</v>
      </c>
      <c r="BW60" s="32">
        <v>1.0106936392787628E-5</v>
      </c>
      <c r="BX60" s="32">
        <v>1.0980321319502038E-6</v>
      </c>
      <c r="BY60" s="32">
        <v>4.4843932897971695E-8</v>
      </c>
      <c r="BZ60" s="32">
        <v>3.2760000529483096E-10</v>
      </c>
      <c r="CA60" s="32">
        <v>1.0318263178248157E-13</v>
      </c>
      <c r="CB60" s="32">
        <v>9.6645208180984189E-20</v>
      </c>
      <c r="CC60" s="32">
        <v>0</v>
      </c>
      <c r="CD60" s="32"/>
      <c r="CE60" s="32">
        <v>2.4542881481706366E-4</v>
      </c>
      <c r="CF60" s="32">
        <v>1.2423232724555956E-4</v>
      </c>
      <c r="CG60" s="32">
        <v>5.3009289090238002E-5</v>
      </c>
      <c r="CH60" s="32">
        <v>1.7728291975434834E-5</v>
      </c>
      <c r="CI60" s="32">
        <v>4.1271889589363238E-6</v>
      </c>
      <c r="CJ60" s="32">
        <v>5.4473916807185946E-7</v>
      </c>
      <c r="CK60" s="32">
        <v>2.7908561246255094E-8</v>
      </c>
      <c r="CL60" s="32">
        <v>2.6536969636373615E-10</v>
      </c>
      <c r="CM60" s="32">
        <v>1.1154437647332959E-13</v>
      </c>
      <c r="CN60" s="32">
        <v>1.3801165361576456E-19</v>
      </c>
      <c r="CO60" s="32">
        <v>0</v>
      </c>
      <c r="CP60" s="32"/>
      <c r="CQ60" s="32">
        <v>0.94998329962749195</v>
      </c>
      <c r="CR60" s="32">
        <v>0.95543123439619548</v>
      </c>
      <c r="CS60" s="32">
        <v>0.96057364617583374</v>
      </c>
      <c r="CT60" s="32">
        <v>0.96554139713934517</v>
      </c>
      <c r="CU60" s="32">
        <v>0.9704324250235159</v>
      </c>
      <c r="CV60" s="32">
        <v>0.9753084051015305</v>
      </c>
      <c r="CW60" s="32">
        <v>0.98019860637694656</v>
      </c>
      <c r="CX60" s="32">
        <v>0.98511193875295289</v>
      </c>
      <c r="CY60" s="32">
        <v>0.99004983354270837</v>
      </c>
      <c r="CZ60" s="32">
        <v>0.9950124790890339</v>
      </c>
      <c r="DA60" s="32">
        <v>1</v>
      </c>
      <c r="DB60" s="32"/>
      <c r="DC60" s="32">
        <v>-2.7869059433260901E-4</v>
      </c>
      <c r="DD60" s="32">
        <v>-1.4403091573750304E-4</v>
      </c>
      <c r="DE60" s="32">
        <v>-6.3042445175576223E-5</v>
      </c>
      <c r="DF60" s="32">
        <v>-2.1771224824052027E-5</v>
      </c>
      <c r="DG60" s="32">
        <v>-5.2843958739945407E-6</v>
      </c>
      <c r="DH60" s="32">
        <v>-7.3784640325369466E-7</v>
      </c>
      <c r="DI60" s="32">
        <v>-4.0891683483756935E-8</v>
      </c>
      <c r="DJ60" s="32">
        <v>-4.3450981701553815E-10</v>
      </c>
      <c r="DK60" s="32">
        <v>-2.1160850849355484E-13</v>
      </c>
      <c r="DL60" s="32">
        <v>5.5511151231257827E-17</v>
      </c>
      <c r="DM60" s="32">
        <v>0</v>
      </c>
      <c r="DN60" s="32"/>
      <c r="DO60" s="32">
        <v>1.069989939677113E-3</v>
      </c>
      <c r="DP60" s="32">
        <v>4.7918042586578914E-4</v>
      </c>
      <c r="DQ60" s="32">
        <v>1.7865335385294686E-4</v>
      </c>
      <c r="DR60" s="32">
        <v>5.1415853795427114E-5</v>
      </c>
      <c r="DS60" s="32">
        <v>1.0104034162120181E-5</v>
      </c>
      <c r="DT60" s="32">
        <v>1.0979755636028063E-6</v>
      </c>
      <c r="DU60" s="32">
        <v>4.4843698284302973E-8</v>
      </c>
      <c r="DV60" s="32">
        <v>3.2759991832960749E-10</v>
      </c>
      <c r="DW60" s="32">
        <v>1.0318263102376201E-13</v>
      </c>
      <c r="DX60" s="32">
        <v>9.6645208165435964E-20</v>
      </c>
      <c r="DY60" s="32">
        <v>0</v>
      </c>
      <c r="DZ60" s="32"/>
      <c r="EA60" s="32">
        <v>2.4117646005310109E-4</v>
      </c>
      <c r="EB60" s="32">
        <v>1.231268972570268E-4</v>
      </c>
      <c r="EC60" s="32">
        <v>5.2800148059191354E-5</v>
      </c>
      <c r="ED60" s="32">
        <v>1.7703014438499E-5</v>
      </c>
      <c r="EE60" s="32">
        <v>4.1255983225236557E-6</v>
      </c>
      <c r="EF60" s="32">
        <v>5.4470175987449595E-7</v>
      </c>
      <c r="EG60" s="32">
        <v>2.7908370543806031E-8</v>
      </c>
      <c r="EH60" s="32">
        <v>2.6536960848458786E-10</v>
      </c>
      <c r="EI60" s="32">
        <v>1.1154437552392052E-13</v>
      </c>
      <c r="EJ60" s="32">
        <v>1.3801165359210991E-19</v>
      </c>
      <c r="EK60" s="32">
        <v>0</v>
      </c>
      <c r="EL60" s="32"/>
      <c r="EM60" s="32">
        <v>7.9668110886169773E-3</v>
      </c>
      <c r="EN60" s="32">
        <v>3.13674045537213E-3</v>
      </c>
      <c r="EO60" s="32">
        <v>1.0229328573972303E-3</v>
      </c>
      <c r="EP60" s="32">
        <v>2.5555724554515952E-4</v>
      </c>
      <c r="EQ60" s="32">
        <v>4.3148243038765173E-5</v>
      </c>
      <c r="ER60" s="32">
        <v>3.9765833525526466E-6</v>
      </c>
      <c r="ES60" s="32">
        <v>1.3580305582750511E-7</v>
      </c>
      <c r="ET60" s="32">
        <v>8.2164047768770297E-10</v>
      </c>
      <c r="EU60" s="32">
        <v>2.1604481913523429E-13</v>
      </c>
      <c r="EV60" s="32">
        <v>1.7440772731335541E-19</v>
      </c>
      <c r="EW60" s="32">
        <v>0</v>
      </c>
      <c r="EX60" s="32"/>
      <c r="EY60" s="32">
        <v>1.93073238383686E-3</v>
      </c>
      <c r="EZ60" s="32">
        <v>8.5886275375878104E-4</v>
      </c>
      <c r="FA60" s="32">
        <v>3.1945700365717893E-4</v>
      </c>
      <c r="FB60" s="32">
        <v>9.2235547536218893E-5</v>
      </c>
      <c r="FC60" s="32">
        <v>1.8324441438719986E-5</v>
      </c>
      <c r="FD60" s="32">
        <v>2.0360288018078778E-6</v>
      </c>
      <c r="FE60" s="32">
        <v>8.6537793779158285E-8</v>
      </c>
      <c r="FF60" s="32">
        <v>6.7591771306680264E-10</v>
      </c>
      <c r="FG60" s="32">
        <v>2.3538464654265849E-13</v>
      </c>
      <c r="FH60" s="32">
        <v>2.4968892682884253E-19</v>
      </c>
      <c r="FI60" s="32">
        <v>0</v>
      </c>
      <c r="FJ60" s="32"/>
      <c r="FK60" s="32">
        <v>28.528915894209224</v>
      </c>
      <c r="FL60" s="32">
        <v>28.676787687650794</v>
      </c>
      <c r="FM60" s="32">
        <v>28.822660217692551</v>
      </c>
      <c r="FN60" s="32">
        <v>28.967906909358643</v>
      </c>
      <c r="FO60" s="32">
        <v>29.113322840016163</v>
      </c>
      <c r="FP60" s="32">
        <v>29.259293369027233</v>
      </c>
      <c r="FQ60" s="32">
        <v>29.405960051146991</v>
      </c>
      <c r="FR60" s="32">
        <v>29.553358178034706</v>
      </c>
      <c r="FS60" s="32">
        <v>29.701495006286944</v>
      </c>
      <c r="FT60" s="32">
        <v>29.850374372671013</v>
      </c>
      <c r="FU60" s="32">
        <v>30</v>
      </c>
      <c r="FV60" s="32"/>
      <c r="FW60" s="32">
        <v>-1.9307323845350055E-3</v>
      </c>
      <c r="FX60" s="32">
        <v>-8.5886275403623813E-4</v>
      </c>
      <c r="FY60" s="32">
        <v>-3.1945700374791386E-4</v>
      </c>
      <c r="FZ60" s="32">
        <v>-9.2235547555219455E-5</v>
      </c>
      <c r="GA60" s="32">
        <v>-1.832444143978762E-5</v>
      </c>
      <c r="GB60" s="32">
        <v>-2.0360288015552896E-6</v>
      </c>
      <c r="GC60" s="32">
        <v>-8.6537793819729814E-8</v>
      </c>
      <c r="GD60" s="32">
        <v>-6.759144355328317E-10</v>
      </c>
      <c r="GE60" s="32">
        <v>-2.3270274596143281E-13</v>
      </c>
      <c r="GF60" s="32">
        <v>-1.7763568394002505E-15</v>
      </c>
      <c r="GG60" s="32">
        <v>0</v>
      </c>
      <c r="GH60" s="32"/>
      <c r="GI60" s="32">
        <v>55.13107124321499</v>
      </c>
      <c r="GJ60" s="32">
        <v>55.602916374270663</v>
      </c>
      <c r="GK60" s="32">
        <v>56.079971154253343</v>
      </c>
      <c r="GL60" s="32">
        <v>56.56079749270539</v>
      </c>
      <c r="GM60" s="32">
        <v>57.044596459052066</v>
      </c>
      <c r="GN60" s="32">
        <v>57.530995128880143</v>
      </c>
      <c r="GO60" s="32">
        <v>58.019867425637592</v>
      </c>
      <c r="GP60" s="32">
        <v>58.511193930342955</v>
      </c>
      <c r="GQ60" s="32">
        <v>59.004983354290864</v>
      </c>
      <c r="GR60" s="32">
        <v>59.501247908903437</v>
      </c>
      <c r="GS60" s="32">
        <v>60</v>
      </c>
      <c r="GT60" s="32"/>
      <c r="GU60" s="32">
        <v>-0.99801776935615649</v>
      </c>
      <c r="GV60" s="32">
        <v>-0.99912976332636561</v>
      </c>
      <c r="GW60" s="32">
        <v>-0.99967873070984226</v>
      </c>
      <c r="GX60" s="32">
        <v>-0.99990758226482512</v>
      </c>
      <c r="GY60" s="32">
        <v>-0.99998166617735862</v>
      </c>
      <c r="GZ60" s="32">
        <v>-0.99999796379414008</v>
      </c>
      <c r="HA60" s="32">
        <v>-0.99999991346148676</v>
      </c>
      <c r="HB60" s="32">
        <v>-0.99999999932407491</v>
      </c>
      <c r="HC60" s="32">
        <v>-0.99999999999975842</v>
      </c>
      <c r="HD60" s="32">
        <v>-1</v>
      </c>
      <c r="HE60" s="32">
        <v>-1</v>
      </c>
      <c r="HF60" s="32"/>
      <c r="HG60" s="32">
        <v>6.4131714538660243E-3</v>
      </c>
      <c r="HH60" s="32">
        <v>2.688103774262077E-3</v>
      </c>
      <c r="HI60" s="32">
        <v>9.2358006237648106E-4</v>
      </c>
      <c r="HJ60" s="32">
        <v>2.4040677305132101E-4</v>
      </c>
      <c r="HK60" s="32">
        <v>4.1805722979412141E-5</v>
      </c>
      <c r="HL60" s="32">
        <v>3.9243499670553938E-6</v>
      </c>
      <c r="HM60" s="32">
        <v>1.3525126921110025E-7</v>
      </c>
      <c r="HN60" s="32">
        <v>8.209507010764652E-10</v>
      </c>
      <c r="HO60" s="32">
        <v>2.1601936512269453E-13</v>
      </c>
      <c r="HP60" s="32">
        <v>1.7440531552912767E-19</v>
      </c>
      <c r="HQ60" s="32">
        <v>0</v>
      </c>
      <c r="HR60" s="32"/>
      <c r="HS60" s="32">
        <v>1.4995590933409761E-3</v>
      </c>
      <c r="HT60" s="32">
        <v>7.1728597060544E-4</v>
      </c>
      <c r="HU60" s="32">
        <v>2.8348438835131625E-4</v>
      </c>
      <c r="HV60" s="32">
        <v>8.5863821629965495E-5</v>
      </c>
      <c r="HW60" s="32">
        <v>1.7657783459376083E-5</v>
      </c>
      <c r="HX60" s="32">
        <v>2.0047522053856439E-6</v>
      </c>
      <c r="HY60" s="32">
        <v>8.6129432828507961E-8</v>
      </c>
      <c r="HZ60" s="32">
        <v>6.7527277978941715E-10</v>
      </c>
      <c r="IA60" s="32">
        <v>2.3535439106972601E-13</v>
      </c>
      <c r="IB60" s="32">
        <v>2.4968533972581646E-19</v>
      </c>
      <c r="IC60" s="32">
        <v>0</v>
      </c>
    </row>
    <row r="61" spans="1:237" ht="20.350000000000001" customHeight="1" x14ac:dyDescent="0.45">
      <c r="V61" s="32">
        <f t="shared" si="2"/>
        <v>60</v>
      </c>
      <c r="W61" s="32">
        <v>0.34218089382892247</v>
      </c>
      <c r="X61" s="32">
        <v>0.21454976122779612</v>
      </c>
      <c r="Y61" s="32">
        <v>0.12384637185275192</v>
      </c>
      <c r="Z61" s="32">
        <v>6.3532387662981846E-2</v>
      </c>
      <c r="AA61" s="32">
        <v>2.7365172346274304E-2</v>
      </c>
      <c r="AB61" s="32">
        <v>8.9654182486965679E-3</v>
      </c>
      <c r="AC61" s="32">
        <v>1.8481506658024546E-3</v>
      </c>
      <c r="AD61" s="32">
        <v>1.5853483718139446E-4</v>
      </c>
      <c r="AE61" s="32">
        <v>1.9825575941772814E-6</v>
      </c>
      <c r="AF61" s="32">
        <v>2.0182391614196223E-10</v>
      </c>
      <c r="AG61" s="32">
        <v>0</v>
      </c>
      <c r="AH61" s="32"/>
      <c r="AI61" s="32">
        <v>4.8867550936037923E-2</v>
      </c>
      <c r="AJ61" s="32">
        <v>3.4423185212518609E-2</v>
      </c>
      <c r="AK61" s="32">
        <v>2.2537560107229314E-2</v>
      </c>
      <c r="AL61" s="32">
        <v>1.3287414190647013E-2</v>
      </c>
      <c r="AM61" s="32">
        <v>6.6984438109400912E-3</v>
      </c>
      <c r="AN61" s="32">
        <v>2.6353525849689111E-3</v>
      </c>
      <c r="AO61" s="32">
        <v>6.773628859914455E-4</v>
      </c>
      <c r="AP61" s="32">
        <v>7.6698993122101771E-5</v>
      </c>
      <c r="AQ61" s="32">
        <v>1.3743342820417104E-6</v>
      </c>
      <c r="AR61" s="32">
        <v>2.1269392217318871E-10</v>
      </c>
      <c r="AS61" s="32">
        <v>0</v>
      </c>
      <c r="AT61" s="32"/>
      <c r="AU61" s="32">
        <v>35.465123512806692</v>
      </c>
      <c r="AV61" s="32">
        <v>35.814297874871855</v>
      </c>
      <c r="AW61" s="32">
        <v>36.202790207900449</v>
      </c>
      <c r="AX61" s="32">
        <v>36.624073943029536</v>
      </c>
      <c r="AY61" s="32">
        <v>37.071918466544126</v>
      </c>
      <c r="AZ61" s="32">
        <v>37.539956570284374</v>
      </c>
      <c r="BA61" s="32">
        <v>38.021715440499584</v>
      </c>
      <c r="BB61" s="32">
        <v>38.511352464358573</v>
      </c>
      <c r="BC61" s="32">
        <v>39.004985336848286</v>
      </c>
      <c r="BD61" s="32">
        <v>39.501247909105309</v>
      </c>
      <c r="BE61" s="32">
        <v>40</v>
      </c>
      <c r="BF61" s="32"/>
      <c r="BG61" s="32">
        <v>-0.95113236273001078</v>
      </c>
      <c r="BH61" s="32">
        <v>-0.96557680742180807</v>
      </c>
      <c r="BI61" s="32">
        <v>-0.97746243951750245</v>
      </c>
      <c r="BJ61" s="32">
        <v>-0.98671258579996746</v>
      </c>
      <c r="BK61" s="32">
        <v>-0.99330155618897464</v>
      </c>
      <c r="BL61" s="32">
        <v>-0.99736464741503283</v>
      </c>
      <c r="BM61" s="32">
        <v>-0.99932263711400182</v>
      </c>
      <c r="BN61" s="32">
        <v>-0.99992330100687354</v>
      </c>
      <c r="BO61" s="32">
        <v>-0.99999862566571096</v>
      </c>
      <c r="BP61" s="32">
        <v>-0.99999999978730258</v>
      </c>
      <c r="BQ61" s="32">
        <v>-1</v>
      </c>
      <c r="BR61" s="32"/>
      <c r="BS61" s="32">
        <v>3.2703528229662569E-2</v>
      </c>
      <c r="BT61" s="32">
        <v>2.3238463208288505E-2</v>
      </c>
      <c r="BU61" s="32">
        <v>1.5303192479991148E-2</v>
      </c>
      <c r="BV61" s="32">
        <v>9.0432546124197995E-3</v>
      </c>
      <c r="BW61" s="32">
        <v>4.5483554340646094E-3</v>
      </c>
      <c r="BX61" s="32">
        <v>1.7730177455236847E-3</v>
      </c>
      <c r="BY61" s="32">
        <v>4.463223819814233E-4</v>
      </c>
      <c r="BZ61" s="32">
        <v>4.8413435545962427E-5</v>
      </c>
      <c r="CA61" s="32">
        <v>7.9393888819270642E-7</v>
      </c>
      <c r="CB61" s="32">
        <v>1.0485630601392671E-10</v>
      </c>
      <c r="CC61" s="32">
        <v>0</v>
      </c>
      <c r="CD61" s="32"/>
      <c r="CE61" s="32">
        <v>4.0758905779247883E-3</v>
      </c>
      <c r="CF61" s="32">
        <v>3.2962392610100932E-3</v>
      </c>
      <c r="CG61" s="32">
        <v>2.4939600326818016E-3</v>
      </c>
      <c r="CH61" s="32">
        <v>1.7158621285296894E-3</v>
      </c>
      <c r="CI61" s="32">
        <v>1.0234525241617312E-3</v>
      </c>
      <c r="CJ61" s="32">
        <v>4.856425636071373E-4</v>
      </c>
      <c r="CK61" s="32">
        <v>1.5461558854443173E-4</v>
      </c>
      <c r="CL61" s="32">
        <v>2.2482894137024626E-5</v>
      </c>
      <c r="CM61" s="32">
        <v>5.3761930180824792E-7</v>
      </c>
      <c r="CN61" s="32">
        <v>1.0972108212696601E-10</v>
      </c>
      <c r="CO61" s="32">
        <v>0</v>
      </c>
      <c r="CP61" s="32"/>
      <c r="CQ61" s="32">
        <v>0.91538187598171827</v>
      </c>
      <c r="CR61" s="32">
        <v>0.93018032733820022</v>
      </c>
      <c r="CS61" s="32">
        <v>0.9435055469888497</v>
      </c>
      <c r="CT61" s="32">
        <v>0.95517651563795569</v>
      </c>
      <c r="CU61" s="32">
        <v>0.96505468978798603</v>
      </c>
      <c r="CV61" s="32">
        <v>0.97312776176947058</v>
      </c>
      <c r="CW61" s="32">
        <v>0.97961816980855643</v>
      </c>
      <c r="CX61" s="32">
        <v>0.98504320074682927</v>
      </c>
      <c r="CY61" s="32">
        <v>0.99004852418038636</v>
      </c>
      <c r="CZ61" s="32">
        <v>0.99501247887118771</v>
      </c>
      <c r="DA61" s="32">
        <v>1</v>
      </c>
      <c r="DB61" s="32"/>
      <c r="DC61" s="32">
        <v>-4.3927590073188361E-3</v>
      </c>
      <c r="DD61" s="32">
        <v>-3.5987921674344725E-3</v>
      </c>
      <c r="DE61" s="32">
        <v>-2.7667856830219661E-3</v>
      </c>
      <c r="DF61" s="32">
        <v>-1.9427314479352198E-3</v>
      </c>
      <c r="DG61" s="32">
        <v>-1.1903580161435334E-3</v>
      </c>
      <c r="DH61" s="32">
        <v>-5.8626543483425442E-4</v>
      </c>
      <c r="DI61" s="32">
        <v>-1.9717603238983417E-4</v>
      </c>
      <c r="DJ61" s="32">
        <v>-3.1302097889984726E-5</v>
      </c>
      <c r="DK61" s="32">
        <v>-8.7159489281507518E-7</v>
      </c>
      <c r="DL61" s="32">
        <v>-2.2604601523923407E-10</v>
      </c>
      <c r="DM61" s="32">
        <v>0</v>
      </c>
      <c r="DN61" s="32"/>
      <c r="DO61" s="32">
        <v>3.1135936469101747E-2</v>
      </c>
      <c r="DP61" s="32">
        <v>2.2541139254305575E-2</v>
      </c>
      <c r="DQ61" s="32">
        <v>1.5044696493248223E-2</v>
      </c>
      <c r="DR61" s="32">
        <v>8.9693469800414434E-3</v>
      </c>
      <c r="DS61" s="32">
        <v>4.5339790798643483E-3</v>
      </c>
      <c r="DT61" s="32">
        <v>1.7714852680298066E-3</v>
      </c>
      <c r="DU61" s="32">
        <v>4.4626225813546987E-4</v>
      </c>
      <c r="DV61" s="32">
        <v>4.8413033739291938E-5</v>
      </c>
      <c r="DW61" s="32">
        <v>7.9393878333888667E-7</v>
      </c>
      <c r="DX61" s="32">
        <v>1.0485630594291249E-10</v>
      </c>
      <c r="DY61" s="32">
        <v>0</v>
      </c>
      <c r="DZ61" s="32"/>
      <c r="EA61" s="32">
        <v>3.7889043920378718E-3</v>
      </c>
      <c r="EB61" s="32">
        <v>3.1496835720739753E-3</v>
      </c>
      <c r="EC61" s="32">
        <v>2.4310246733395251E-3</v>
      </c>
      <c r="ED61" s="32">
        <v>1.6947494443064481E-3</v>
      </c>
      <c r="EE61" s="32">
        <v>1.018548768094998E-3</v>
      </c>
      <c r="EF61" s="32">
        <v>4.8500337908626771E-4</v>
      </c>
      <c r="EG61" s="32">
        <v>1.5458395546367267E-4</v>
      </c>
      <c r="EH61" s="32">
        <v>2.2482618036282988E-5</v>
      </c>
      <c r="EI61" s="32">
        <v>5.3761920583477812E-7</v>
      </c>
      <c r="EJ61" s="32">
        <v>1.0972108204189448E-10</v>
      </c>
      <c r="EK61" s="32">
        <v>0</v>
      </c>
      <c r="EL61" s="32"/>
      <c r="EM61" s="32">
        <v>0.32986847265216329</v>
      </c>
      <c r="EN61" s="32">
        <v>0.20985665443555646</v>
      </c>
      <c r="EO61" s="32">
        <v>0.12236995259970518</v>
      </c>
      <c r="EP61" s="32">
        <v>6.3179125543867815E-2</v>
      </c>
      <c r="EQ61" s="32">
        <v>2.7308781794480885E-2</v>
      </c>
      <c r="ER61" s="32">
        <v>8.9606157908598376E-3</v>
      </c>
      <c r="ES61" s="32">
        <v>1.8480053153220361E-3</v>
      </c>
      <c r="ET61" s="32">
        <v>1.5853411611752401E-4</v>
      </c>
      <c r="EU61" s="32">
        <v>1.9825574573706125E-6</v>
      </c>
      <c r="EV61" s="32">
        <v>2.0182391607322181E-10</v>
      </c>
      <c r="EW61" s="32">
        <v>0</v>
      </c>
      <c r="EX61" s="32"/>
      <c r="EY61" s="32">
        <v>4.6414407535712465E-2</v>
      </c>
      <c r="EZ61" s="32">
        <v>3.3359174886406925E-2</v>
      </c>
      <c r="FA61" s="32">
        <v>2.2153055948628986E-2</v>
      </c>
      <c r="FB61" s="32">
        <v>1.3180348436805291E-2</v>
      </c>
      <c r="FC61" s="32">
        <v>6.6782002089581481E-3</v>
      </c>
      <c r="FD61" s="32">
        <v>2.6332615942683108E-3</v>
      </c>
      <c r="FE61" s="32">
        <v>6.7728374787529152E-4</v>
      </c>
      <c r="FF61" s="32">
        <v>7.6698485427988079E-5</v>
      </c>
      <c r="FG61" s="32">
        <v>1.3743341550937331E-6</v>
      </c>
      <c r="FH61" s="32">
        <v>2.1269392209042722E-10</v>
      </c>
      <c r="FI61" s="32">
        <v>0</v>
      </c>
      <c r="FJ61" s="32"/>
      <c r="FK61" s="32">
        <v>28.207014232643054</v>
      </c>
      <c r="FL61" s="32">
        <v>28.47006777366974</v>
      </c>
      <c r="FM61" s="32">
        <v>28.701313197949993</v>
      </c>
      <c r="FN61" s="32">
        <v>28.90498334106028</v>
      </c>
      <c r="FO61" s="32">
        <v>29.086057206464687</v>
      </c>
      <c r="FP61" s="32">
        <v>29.250336729819722</v>
      </c>
      <c r="FQ61" s="32">
        <v>29.404112181634737</v>
      </c>
      <c r="FR61" s="32">
        <v>29.553199644740236</v>
      </c>
      <c r="FS61" s="32">
        <v>29.701493023729704</v>
      </c>
      <c r="FT61" s="32">
        <v>29.850374372469208</v>
      </c>
      <c r="FU61" s="32">
        <v>30</v>
      </c>
      <c r="FV61" s="32"/>
      <c r="FW61" s="32">
        <v>-4.6414407535699809E-2</v>
      </c>
      <c r="FX61" s="32">
        <v>-3.3359174886399501E-2</v>
      </c>
      <c r="FY61" s="32">
        <v>-2.2153055948626488E-2</v>
      </c>
      <c r="FZ61" s="32">
        <v>-1.3180348436801381E-2</v>
      </c>
      <c r="GA61" s="32">
        <v>-6.6782002089595949E-3</v>
      </c>
      <c r="GB61" s="32">
        <v>-2.6332615942692428E-3</v>
      </c>
      <c r="GC61" s="32">
        <v>-6.7728374787101586E-4</v>
      </c>
      <c r="GD61" s="32">
        <v>-7.6698485427684204E-5</v>
      </c>
      <c r="GE61" s="32">
        <v>-1.3743341504834916E-6</v>
      </c>
      <c r="GF61" s="32">
        <v>-2.1269386252242839E-10</v>
      </c>
      <c r="GG61" s="32">
        <v>0</v>
      </c>
      <c r="GH61" s="32"/>
      <c r="GI61" s="32">
        <v>35.477435933983465</v>
      </c>
      <c r="GJ61" s="32">
        <v>35.818990981664101</v>
      </c>
      <c r="GK61" s="32">
        <v>36.204266627153487</v>
      </c>
      <c r="GL61" s="32">
        <v>36.624427205148656</v>
      </c>
      <c r="GM61" s="32">
        <v>37.071974857095903</v>
      </c>
      <c r="GN61" s="32">
        <v>37.539961372742198</v>
      </c>
      <c r="GO61" s="32">
        <v>38.021715585850053</v>
      </c>
      <c r="GP61" s="32">
        <v>38.511352465079639</v>
      </c>
      <c r="GQ61" s="32">
        <v>39.004985336848428</v>
      </c>
      <c r="GR61" s="32">
        <v>39.501247909105309</v>
      </c>
      <c r="GS61" s="32">
        <v>40</v>
      </c>
      <c r="GT61" s="32"/>
      <c r="GU61" s="32">
        <v>-0.94867921932968713</v>
      </c>
      <c r="GV61" s="32">
        <v>-0.96451279709568993</v>
      </c>
      <c r="GW61" s="32">
        <v>-0.97707793535889564</v>
      </c>
      <c r="GX61" s="32">
        <v>-0.98660552004612256</v>
      </c>
      <c r="GY61" s="32">
        <v>-0.99328131258698704</v>
      </c>
      <c r="GZ61" s="32">
        <v>-0.99736255642432425</v>
      </c>
      <c r="HA61" s="32">
        <v>-0.99932255797587999</v>
      </c>
      <c r="HB61" s="32">
        <v>-0.99992330049917655</v>
      </c>
      <c r="HC61" s="32">
        <v>-0.99999862566558662</v>
      </c>
      <c r="HD61" s="32">
        <v>-0.99999999978730258</v>
      </c>
      <c r="HE61" s="32">
        <v>-1</v>
      </c>
      <c r="HF61" s="32"/>
      <c r="HG61" s="32">
        <v>0.21456009923099334</v>
      </c>
      <c r="HH61" s="32">
        <v>0.14962963784814115</v>
      </c>
      <c r="HI61" s="32">
        <v>9.5012827571558073E-2</v>
      </c>
      <c r="HJ61" s="32">
        <v>5.2975803512891412E-2</v>
      </c>
      <c r="HK61" s="32">
        <v>2.446062588473244E-2</v>
      </c>
      <c r="HL61" s="32">
        <v>8.4535515310180005E-3</v>
      </c>
      <c r="HM61" s="32">
        <v>1.805359839183856E-3</v>
      </c>
      <c r="HN61" s="32">
        <v>1.5762091948713801E-4</v>
      </c>
      <c r="HO61" s="32">
        <v>1.9812697112729868E-6</v>
      </c>
      <c r="HP61" s="32">
        <v>2.0181718412197309E-10</v>
      </c>
      <c r="HQ61" s="32">
        <v>0</v>
      </c>
      <c r="HR61" s="32"/>
      <c r="HS61" s="32">
        <v>2.7335234630729704E-2</v>
      </c>
      <c r="HT61" s="32">
        <v>2.1978548307165793E-2</v>
      </c>
      <c r="HU61" s="32">
        <v>1.619890615953222E-2</v>
      </c>
      <c r="HV61" s="32">
        <v>1.0591357531969318E-2</v>
      </c>
      <c r="HW61" s="32">
        <v>5.8212465579142777E-3</v>
      </c>
      <c r="HX61" s="32">
        <v>2.4479863933072193E-3</v>
      </c>
      <c r="HY61" s="32">
        <v>6.5771044967015955E-4</v>
      </c>
      <c r="HZ61" s="32">
        <v>7.6147283246728604E-5</v>
      </c>
      <c r="IA61" s="32">
        <v>1.3732640582752039E-6</v>
      </c>
      <c r="IB61" s="32">
        <v>2.1268619774117537E-10</v>
      </c>
      <c r="IC61" s="32">
        <v>0</v>
      </c>
    </row>
    <row r="62" spans="1:237" ht="20.350000000000001" customHeight="1" x14ac:dyDescent="0.45">
      <c r="V62" s="32">
        <f t="shared" si="2"/>
        <v>80</v>
      </c>
      <c r="W62" s="32">
        <v>3.1628944013021201</v>
      </c>
      <c r="X62" s="32">
        <v>2.5687882001721336</v>
      </c>
      <c r="Y62" s="32">
        <v>2.0288300567290554</v>
      </c>
      <c r="Z62" s="32">
        <v>1.5403821520140206</v>
      </c>
      <c r="AA62" s="32">
        <v>1.1042790880763556</v>
      </c>
      <c r="AB62" s="32">
        <v>0.7250780895248381</v>
      </c>
      <c r="AC62" s="32">
        <v>0.411754771769755</v>
      </c>
      <c r="AD62" s="32">
        <v>0.17835109535888474</v>
      </c>
      <c r="AE62" s="32">
        <v>4.1561902904029072E-2</v>
      </c>
      <c r="AF62" s="32">
        <v>1.1724166264438834E-3</v>
      </c>
      <c r="AG62" s="32">
        <v>0</v>
      </c>
      <c r="AH62" s="32"/>
      <c r="AI62" s="32">
        <v>0.26854246948949889</v>
      </c>
      <c r="AJ62" s="32">
        <v>0.24130342551692352</v>
      </c>
      <c r="AK62" s="32">
        <v>0.21256198820364336</v>
      </c>
      <c r="AL62" s="32">
        <v>0.18204881753254398</v>
      </c>
      <c r="AM62" s="32">
        <v>0.149573329005186</v>
      </c>
      <c r="AN62" s="32">
        <v>0.11515736310542618</v>
      </c>
      <c r="AO62" s="32">
        <v>7.9368142524283342E-2</v>
      </c>
      <c r="AP62" s="32">
        <v>4.4146607511604194E-2</v>
      </c>
      <c r="AQ62" s="32">
        <v>1.4684545919193026E-2</v>
      </c>
      <c r="AR62" s="32">
        <v>7.4780819777175414E-4</v>
      </c>
      <c r="AS62" s="32">
        <v>0</v>
      </c>
      <c r="AT62" s="32"/>
      <c r="AU62" s="32">
        <v>18.285894583496098</v>
      </c>
      <c r="AV62" s="32">
        <v>18.168545639425407</v>
      </c>
      <c r="AW62" s="32">
        <v>18.10777493622923</v>
      </c>
      <c r="AX62" s="32">
        <v>18.100923776862707</v>
      </c>
      <c r="AY62" s="32">
        <v>18.148832384460604</v>
      </c>
      <c r="AZ62" s="32">
        <v>18.256069241583138</v>
      </c>
      <c r="BA62" s="32">
        <v>18.431622061603651</v>
      </c>
      <c r="BB62" s="32">
        <v>18.689545024880339</v>
      </c>
      <c r="BC62" s="32">
        <v>19.046545257194762</v>
      </c>
      <c r="BD62" s="32">
        <v>19.502420325529943</v>
      </c>
      <c r="BE62" s="32">
        <v>20</v>
      </c>
      <c r="BF62" s="32"/>
      <c r="BG62" s="32">
        <v>-0.73144438193332917</v>
      </c>
      <c r="BH62" s="32">
        <v>-0.75869413025372623</v>
      </c>
      <c r="BI62" s="32">
        <v>-0.7874376952007669</v>
      </c>
      <c r="BJ62" s="32">
        <v>-0.81795115778522565</v>
      </c>
      <c r="BK62" s="32">
        <v>-0.85042667007283512</v>
      </c>
      <c r="BL62" s="32">
        <v>-0.88484263688311593</v>
      </c>
      <c r="BM62" s="32">
        <v>-0.9206318574756871</v>
      </c>
      <c r="BN62" s="32">
        <v>-0.95585339248839141</v>
      </c>
      <c r="BO62" s="32">
        <v>-0.9853154540808049</v>
      </c>
      <c r="BP62" s="32">
        <v>-0.99925219180223124</v>
      </c>
      <c r="BQ62" s="32">
        <v>-1</v>
      </c>
      <c r="BR62" s="32"/>
      <c r="BS62" s="32">
        <v>0.20700478995773411</v>
      </c>
      <c r="BT62" s="32">
        <v>0.18802781482910463</v>
      </c>
      <c r="BU62" s="32">
        <v>0.16714723792019456</v>
      </c>
      <c r="BV62" s="32">
        <v>0.14419411434963506</v>
      </c>
      <c r="BW62" s="32">
        <v>0.11905935924174062</v>
      </c>
      <c r="BX62" s="32">
        <v>9.1822545052958379E-2</v>
      </c>
      <c r="BY62" s="32">
        <v>6.306168043449753E-2</v>
      </c>
      <c r="BZ62" s="32">
        <v>3.459555777997593E-2</v>
      </c>
      <c r="CA62" s="32">
        <v>1.1061174762942185E-2</v>
      </c>
      <c r="CB62" s="32">
        <v>4.9198486745379879E-4</v>
      </c>
      <c r="CC62" s="32">
        <v>0</v>
      </c>
      <c r="CD62" s="32"/>
      <c r="CE62" s="32">
        <v>1.3477834057208954E-2</v>
      </c>
      <c r="CF62" s="32">
        <v>1.375776339704278E-2</v>
      </c>
      <c r="CG62" s="32">
        <v>1.3866440848784273E-2</v>
      </c>
      <c r="CH62" s="32">
        <v>1.3732342552960783E-2</v>
      </c>
      <c r="CI62" s="32">
        <v>1.3244146669180383E-2</v>
      </c>
      <c r="CJ62" s="32">
        <v>1.2230495904706713E-2</v>
      </c>
      <c r="CK62" s="32">
        <v>1.0438670325245192E-2</v>
      </c>
      <c r="CL62" s="32">
        <v>7.5599938271385392E-3</v>
      </c>
      <c r="CM62" s="32">
        <v>3.570333841083872E-3</v>
      </c>
      <c r="CN62" s="32">
        <v>3.0141743226872917E-4</v>
      </c>
      <c r="CO62" s="32">
        <v>0</v>
      </c>
      <c r="CP62" s="32"/>
      <c r="CQ62" s="32">
        <v>0.73241423932589533</v>
      </c>
      <c r="CR62" s="32">
        <v>0.75582746338007067</v>
      </c>
      <c r="CS62" s="32">
        <v>0.78130776705205107</v>
      </c>
      <c r="CT62" s="32">
        <v>0.80908769464940267</v>
      </c>
      <c r="CU62" s="32">
        <v>0.83937706705713033</v>
      </c>
      <c r="CV62" s="32">
        <v>0.8722551449935626</v>
      </c>
      <c r="CW62" s="32">
        <v>0.90738722396066718</v>
      </c>
      <c r="CX62" s="32">
        <v>0.94327755855711937</v>
      </c>
      <c r="CY62" s="32">
        <v>0.97541812165155684</v>
      </c>
      <c r="CZ62" s="32">
        <v>0.99418754147888955</v>
      </c>
      <c r="DA62" s="32">
        <v>1</v>
      </c>
      <c r="DB62" s="32"/>
      <c r="DC62" s="32">
        <v>-1.3905921816567968E-2</v>
      </c>
      <c r="DD62" s="32">
        <v>-1.4278246648451232E-2</v>
      </c>
      <c r="DE62" s="32">
        <v>-1.449699673038618E-2</v>
      </c>
      <c r="DF62" s="32">
        <v>-1.4492972276999083E-2</v>
      </c>
      <c r="DG62" s="32">
        <v>-1.4154937524411548E-2</v>
      </c>
      <c r="DH62" s="32">
        <v>-1.3304299681589749E-2</v>
      </c>
      <c r="DI62" s="32">
        <v>-1.16596871494693E-2</v>
      </c>
      <c r="DJ62" s="32">
        <v>-8.8242913153950275E-3</v>
      </c>
      <c r="DK62" s="32">
        <v>-4.547437513411301E-3</v>
      </c>
      <c r="DL62" s="32">
        <v>-4.8830030754298814E-4</v>
      </c>
      <c r="DM62" s="32">
        <v>0</v>
      </c>
      <c r="DN62" s="32"/>
      <c r="DO62" s="32">
        <v>0.17922532302381339</v>
      </c>
      <c r="DP62" s="32">
        <v>0.16915844510416708</v>
      </c>
      <c r="DQ62" s="32">
        <v>0.15539939629111957</v>
      </c>
      <c r="DR62" s="32">
        <v>0.13773334051423769</v>
      </c>
      <c r="DS62" s="32">
        <v>0.11610568995091879</v>
      </c>
      <c r="DT62" s="32">
        <v>9.0814462635233545E-2</v>
      </c>
      <c r="DU62" s="32">
        <v>6.2853367730962811E-2</v>
      </c>
      <c r="DV62" s="32">
        <v>3.4579138556198874E-2</v>
      </c>
      <c r="DW62" s="32">
        <v>1.1061021234407926E-2</v>
      </c>
      <c r="DX62" s="32">
        <v>4.9198485931546167E-4</v>
      </c>
      <c r="DY62" s="32">
        <v>0</v>
      </c>
      <c r="DZ62" s="32"/>
      <c r="EA62" s="32">
        <v>1.0407845869552595E-2</v>
      </c>
      <c r="EB62" s="32">
        <v>1.1365758178247212E-2</v>
      </c>
      <c r="EC62" s="32">
        <v>1.2142552763684436E-2</v>
      </c>
      <c r="ED62" s="32">
        <v>1.2620601636549267E-2</v>
      </c>
      <c r="EE62" s="32">
        <v>1.263722420492995E-2</v>
      </c>
      <c r="EF62" s="32">
        <v>1.1976685521555043E-2</v>
      </c>
      <c r="EG62" s="32">
        <v>1.0371944781456734E-2</v>
      </c>
      <c r="EH62" s="32">
        <v>7.5529180079021273E-3</v>
      </c>
      <c r="EI62" s="32">
        <v>3.5702380210120592E-3</v>
      </c>
      <c r="EJ62" s="32">
        <v>3.0141742468123343E-4</v>
      </c>
      <c r="EK62" s="32">
        <v>0</v>
      </c>
      <c r="EL62" s="32"/>
      <c r="EM62" s="32">
        <v>2.8604575741299429</v>
      </c>
      <c r="EN62" s="32">
        <v>2.3911657045515078</v>
      </c>
      <c r="EO62" s="32">
        <v>1.9341178344375598</v>
      </c>
      <c r="EP62" s="32">
        <v>1.4963855152347172</v>
      </c>
      <c r="EQ62" s="32">
        <v>1.087623758835091</v>
      </c>
      <c r="ER62" s="32">
        <v>0.72050443782547002</v>
      </c>
      <c r="ES62" s="32">
        <v>0.41102604356733863</v>
      </c>
      <c r="ET62" s="32">
        <v>0.17830955166594478</v>
      </c>
      <c r="EU62" s="32">
        <v>4.1561644543376304E-2</v>
      </c>
      <c r="EV62" s="32">
        <v>1.1724166176590401E-3</v>
      </c>
      <c r="EW62" s="32">
        <v>0</v>
      </c>
      <c r="EX62" s="32"/>
      <c r="EY62" s="32">
        <v>0.23001723063079393</v>
      </c>
      <c r="EZ62" s="32">
        <v>0.21567342556885416</v>
      </c>
      <c r="FA62" s="32">
        <v>0.19693769556973084</v>
      </c>
      <c r="FB62" s="32">
        <v>0.17364274520941048</v>
      </c>
      <c r="FC62" s="32">
        <v>0.14582054901908292</v>
      </c>
      <c r="FD62" s="32">
        <v>0.11391065737387701</v>
      </c>
      <c r="FE62" s="32">
        <v>7.9118786474339287E-2</v>
      </c>
      <c r="FF62" s="32">
        <v>4.4127766104096175E-2</v>
      </c>
      <c r="FG62" s="32">
        <v>1.4684379398375974E-2</v>
      </c>
      <c r="FH62" s="32">
        <v>7.4780818948681066E-4</v>
      </c>
      <c r="FI62" s="32">
        <v>0</v>
      </c>
      <c r="FJ62" s="32"/>
      <c r="FK62" s="32">
        <v>25.676425131165967</v>
      </c>
      <c r="FL62" s="32">
        <v>26.288758723554189</v>
      </c>
      <c r="FM62" s="32">
        <v>26.889565316112353</v>
      </c>
      <c r="FN62" s="32">
        <v>27.471776951369492</v>
      </c>
      <c r="FO62" s="32">
        <v>28.025742229424125</v>
      </c>
      <c r="FP62" s="32">
        <v>28.538792907785147</v>
      </c>
      <c r="FQ62" s="32">
        <v>28.994934143382725</v>
      </c>
      <c r="FR62" s="32">
        <v>29.375048627190417</v>
      </c>
      <c r="FS62" s="32">
        <v>29.659933361743811</v>
      </c>
      <c r="FT62" s="32">
        <v>29.849201956053374</v>
      </c>
      <c r="FU62" s="32">
        <v>30</v>
      </c>
      <c r="FV62" s="32"/>
      <c r="FW62" s="32">
        <v>-0.23001723063072532</v>
      </c>
      <c r="FX62" s="32">
        <v>-0.21567342556881819</v>
      </c>
      <c r="FY62" s="32">
        <v>-0.19693769556969798</v>
      </c>
      <c r="FZ62" s="32">
        <v>-0.17364274520939738</v>
      </c>
      <c r="GA62" s="32">
        <v>-0.14582054901908137</v>
      </c>
      <c r="GB62" s="32">
        <v>-0.11391065737387684</v>
      </c>
      <c r="GC62" s="32">
        <v>-7.9118786474339231E-2</v>
      </c>
      <c r="GD62" s="32">
        <v>-4.4127766104095301E-2</v>
      </c>
      <c r="GE62" s="32">
        <v>-1.4684379398374858E-2</v>
      </c>
      <c r="GF62" s="32">
        <v>-7.4780818948916306E-4</v>
      </c>
      <c r="GG62" s="32">
        <v>0</v>
      </c>
      <c r="GH62" s="32"/>
      <c r="GI62" s="32">
        <v>18.588331410668278</v>
      </c>
      <c r="GJ62" s="32">
        <v>18.346168135046035</v>
      </c>
      <c r="GK62" s="32">
        <v>18.202487158520732</v>
      </c>
      <c r="GL62" s="32">
        <v>18.144920413642012</v>
      </c>
      <c r="GM62" s="32">
        <v>18.165487713701868</v>
      </c>
      <c r="GN62" s="32">
        <v>18.260642893282512</v>
      </c>
      <c r="GO62" s="32">
        <v>18.432350789806069</v>
      </c>
      <c r="GP62" s="32">
        <v>18.689586568573279</v>
      </c>
      <c r="GQ62" s="32">
        <v>19.046545515555408</v>
      </c>
      <c r="GR62" s="32">
        <v>19.502420325538729</v>
      </c>
      <c r="GS62" s="32">
        <v>20</v>
      </c>
      <c r="GT62" s="32"/>
      <c r="GU62" s="32">
        <v>-0.69291914307462577</v>
      </c>
      <c r="GV62" s="32">
        <v>-0.73306413030565132</v>
      </c>
      <c r="GW62" s="32">
        <v>-0.7718134025668526</v>
      </c>
      <c r="GX62" s="32">
        <v>-0.80954508546209425</v>
      </c>
      <c r="GY62" s="32">
        <v>-0.84667389008673233</v>
      </c>
      <c r="GZ62" s="32">
        <v>-0.88359593115156798</v>
      </c>
      <c r="HA62" s="32">
        <v>-0.92038250142574363</v>
      </c>
      <c r="HB62" s="32">
        <v>-0.95583455108088522</v>
      </c>
      <c r="HC62" s="32">
        <v>-0.98531528755998821</v>
      </c>
      <c r="HD62" s="32">
        <v>-0.99925219179394453</v>
      </c>
      <c r="HE62" s="32">
        <v>-1</v>
      </c>
      <c r="HF62" s="32"/>
      <c r="HG62" s="32">
        <v>1.3497402080948695</v>
      </c>
      <c r="HH62" s="32">
        <v>1.2579956301545225</v>
      </c>
      <c r="HI62" s="32">
        <v>1.1348146454493662</v>
      </c>
      <c r="HJ62" s="32">
        <v>0.9791421281189</v>
      </c>
      <c r="HK62" s="32">
        <v>0.79256170772848678</v>
      </c>
      <c r="HL62" s="32">
        <v>0.58205558871716412</v>
      </c>
      <c r="HM62" s="32">
        <v>0.36422189721033982</v>
      </c>
      <c r="HN62" s="32">
        <v>0.16978992824707489</v>
      </c>
      <c r="HO62" s="32">
        <v>4.1180686929536719E-2</v>
      </c>
      <c r="HP62" s="32">
        <v>1.1721173460906313E-3</v>
      </c>
      <c r="HQ62" s="32">
        <v>0</v>
      </c>
      <c r="HR62" s="32"/>
      <c r="HS62" s="32">
        <v>8.2755886836323622E-2</v>
      </c>
      <c r="HT62" s="32">
        <v>8.9863285069296306E-2</v>
      </c>
      <c r="HU62" s="32">
        <v>9.5018069511980663E-2</v>
      </c>
      <c r="HV62" s="32">
        <v>9.6995138817614845E-2</v>
      </c>
      <c r="HW62" s="32">
        <v>9.4158028367685387E-2</v>
      </c>
      <c r="HX62" s="32">
        <v>8.4582271778255336E-2</v>
      </c>
      <c r="HY62" s="32">
        <v>6.6692902803523468E-2</v>
      </c>
      <c r="HZ62" s="32">
        <v>4.1129159959584341E-2</v>
      </c>
      <c r="IA62" s="32">
        <v>1.4488856662756398E-2</v>
      </c>
      <c r="IB62" s="32">
        <v>7.4755693093810939E-4</v>
      </c>
      <c r="IC62" s="32">
        <v>0</v>
      </c>
    </row>
    <row r="63" spans="1:237" ht="20.350000000000001" customHeight="1" x14ac:dyDescent="0.45">
      <c r="V63" s="32">
        <f t="shared" si="2"/>
        <v>100</v>
      </c>
      <c r="W63" s="32">
        <v>11.952073584446522</v>
      </c>
      <c r="X63" s="32">
        <v>11.001436628601912</v>
      </c>
      <c r="Y63" s="32">
        <v>10.070795887853675</v>
      </c>
      <c r="Z63" s="32">
        <v>9.1487144609565423</v>
      </c>
      <c r="AA63" s="32">
        <v>8.223646680303057</v>
      </c>
      <c r="AB63" s="32">
        <v>7.2826090580026657</v>
      </c>
      <c r="AC63" s="32">
        <v>6.3089296768244303</v>
      </c>
      <c r="AD63" s="32">
        <v>5.2775239007123247</v>
      </c>
      <c r="AE63" s="32">
        <v>4.1423047321615138</v>
      </c>
      <c r="AF63" s="32">
        <v>2.7866190338626109</v>
      </c>
      <c r="AG63" s="32">
        <v>0</v>
      </c>
      <c r="AH63" s="32"/>
      <c r="AI63" s="32">
        <v>0.61083766613009871</v>
      </c>
      <c r="AJ63" s="32">
        <v>0.6062747708276035</v>
      </c>
      <c r="AK63" s="32">
        <v>0.60111151852246802</v>
      </c>
      <c r="AL63" s="32">
        <v>0.59537522412303989</v>
      </c>
      <c r="AM63" s="32">
        <v>0.58901239033097497</v>
      </c>
      <c r="AN63" s="32">
        <v>0.5818960546030798</v>
      </c>
      <c r="AO63" s="32">
        <v>0.57381177207515766</v>
      </c>
      <c r="AP63" s="32">
        <v>0.56439585666441561</v>
      </c>
      <c r="AQ63" s="32">
        <v>0.55294351639844552</v>
      </c>
      <c r="AR63" s="32">
        <v>0.53764952745929295</v>
      </c>
      <c r="AS63" s="32">
        <v>0.5</v>
      </c>
      <c r="AT63" s="32"/>
      <c r="AU63" s="32">
        <v>7.0777367329585132</v>
      </c>
      <c r="AV63" s="32">
        <v>6.6019650295013204</v>
      </c>
      <c r="AW63" s="32">
        <v>6.1499144171719555</v>
      </c>
      <c r="AX63" s="32">
        <v>5.709283566119046</v>
      </c>
      <c r="AY63" s="32">
        <v>5.2682025725758415</v>
      </c>
      <c r="AZ63" s="32">
        <v>4.8136003212583969</v>
      </c>
      <c r="BA63" s="32">
        <v>4.3287969679871372</v>
      </c>
      <c r="BB63" s="32">
        <v>3.7887178302356963</v>
      </c>
      <c r="BC63" s="32">
        <v>3.1472880864522845</v>
      </c>
      <c r="BD63" s="32">
        <v>2.2878669427661311</v>
      </c>
      <c r="BE63" s="32">
        <v>0</v>
      </c>
      <c r="BF63" s="32"/>
      <c r="BG63" s="32">
        <v>-0.38871733851308443</v>
      </c>
      <c r="BH63" s="32">
        <v>-0.39357831723493275</v>
      </c>
      <c r="BI63" s="32">
        <v>-0.39885031997136933</v>
      </c>
      <c r="BJ63" s="32">
        <v>-0.40461771276347802</v>
      </c>
      <c r="BK63" s="32">
        <v>-0.41098681553192096</v>
      </c>
      <c r="BL63" s="32">
        <v>-0.41810390402038777</v>
      </c>
      <c r="BM63" s="32">
        <v>-0.42618822730828065</v>
      </c>
      <c r="BN63" s="32">
        <v>-0.43560414333448727</v>
      </c>
      <c r="BO63" s="32">
        <v>-0.44705648360155248</v>
      </c>
      <c r="BP63" s="32">
        <v>-0.46235047254070594</v>
      </c>
      <c r="BQ63" s="32">
        <v>-0.5</v>
      </c>
      <c r="BR63" s="32"/>
      <c r="BS63" s="32">
        <v>0.52109215608583048</v>
      </c>
      <c r="BT63" s="32">
        <v>0.52334707718529438</v>
      </c>
      <c r="BU63" s="32">
        <v>0.52474709161007727</v>
      </c>
      <c r="BV63" s="32">
        <v>0.52527428939678422</v>
      </c>
      <c r="BW63" s="32">
        <v>0.52485514386343612</v>
      </c>
      <c r="BX63" s="32">
        <v>0.52333713925528391</v>
      </c>
      <c r="BY63" s="32">
        <v>0.52043099029750473</v>
      </c>
      <c r="BZ63" s="32">
        <v>0.51555827798177944</v>
      </c>
      <c r="CA63" s="32">
        <v>0.50734613860325484</v>
      </c>
      <c r="CB63" s="32">
        <v>0.490278943386671</v>
      </c>
      <c r="CC63" s="32">
        <v>0</v>
      </c>
      <c r="CD63" s="32"/>
      <c r="CE63" s="32">
        <v>1.5873727653277436E-2</v>
      </c>
      <c r="CF63" s="32">
        <v>1.7266169377097684E-2</v>
      </c>
      <c r="CG63" s="32">
        <v>1.884952617664859E-2</v>
      </c>
      <c r="CH63" s="32">
        <v>2.0697217089196585E-2</v>
      </c>
      <c r="CI63" s="32">
        <v>2.2921177634302348E-2</v>
      </c>
      <c r="CJ63" s="32">
        <v>2.5705562977349744E-2</v>
      </c>
      <c r="CK63" s="32">
        <v>2.9383933790027267E-2</v>
      </c>
      <c r="CL63" s="32">
        <v>3.4647905416162222E-2</v>
      </c>
      <c r="CM63" s="32">
        <v>4.3275742458891375E-2</v>
      </c>
      <c r="CN63" s="32">
        <v>6.2348586197283701E-2</v>
      </c>
      <c r="CO63" s="32">
        <v>0.5</v>
      </c>
      <c r="CP63" s="32"/>
      <c r="CQ63" s="32">
        <v>0.41462053371869323</v>
      </c>
      <c r="CR63" s="32">
        <v>0.41575164770126632</v>
      </c>
      <c r="CS63" s="32">
        <v>0.4175670332824597</v>
      </c>
      <c r="CT63" s="32">
        <v>0.42001124034644577</v>
      </c>
      <c r="CU63" s="32">
        <v>0.42304567600714899</v>
      </c>
      <c r="CV63" s="32">
        <v>0.42663807268424458</v>
      </c>
      <c r="CW63" s="32">
        <v>0.43074248746990085</v>
      </c>
      <c r="CX63" s="32">
        <v>0.4352408370655062</v>
      </c>
      <c r="CY63" s="32">
        <v>0.43970078592811368</v>
      </c>
      <c r="CZ63" s="32">
        <v>0.44108389614648325</v>
      </c>
      <c r="DA63" s="32">
        <v>0</v>
      </c>
      <c r="DB63" s="32"/>
      <c r="DC63" s="32">
        <v>-1.5777857528017969E-2</v>
      </c>
      <c r="DD63" s="32">
        <v>-1.7153538020765524E-2</v>
      </c>
      <c r="DE63" s="32">
        <v>-1.8717936508299171E-2</v>
      </c>
      <c r="DF63" s="32">
        <v>-2.0543722891206734E-2</v>
      </c>
      <c r="DG63" s="32">
        <v>-2.2741681628746291E-2</v>
      </c>
      <c r="DH63" s="32">
        <v>-2.5494074872467853E-2</v>
      </c>
      <c r="DI63" s="32">
        <v>-2.9131052048881306E-2</v>
      </c>
      <c r="DJ63" s="32">
        <v>-3.4337210228797904E-2</v>
      </c>
      <c r="DK63" s="32">
        <v>-4.2872602953286904E-2</v>
      </c>
      <c r="DL63" s="32">
        <v>-6.1723339374422093E-2</v>
      </c>
      <c r="DM63" s="32">
        <v>-0.5</v>
      </c>
      <c r="DN63" s="32"/>
      <c r="DO63" s="32">
        <v>0.36705375526688916</v>
      </c>
      <c r="DP63" s="32">
        <v>0.38973106150500231</v>
      </c>
      <c r="DQ63" s="32">
        <v>0.41249744270286942</v>
      </c>
      <c r="DR63" s="32">
        <v>0.435116308741476</v>
      </c>
      <c r="DS63" s="32">
        <v>0.45707427128092526</v>
      </c>
      <c r="DT63" s="32">
        <v>0.4773991592755194</v>
      </c>
      <c r="DU63" s="32">
        <v>0.49436264901709814</v>
      </c>
      <c r="DV63" s="32">
        <v>0.50509548205052646</v>
      </c>
      <c r="DW63" s="32">
        <v>0.50552309648084792</v>
      </c>
      <c r="DX63" s="32">
        <v>0.49026126114474733</v>
      </c>
      <c r="DY63" s="32">
        <v>0</v>
      </c>
      <c r="DZ63" s="32"/>
      <c r="EA63" s="32">
        <v>5.9818578765155617E-3</v>
      </c>
      <c r="EB63" s="32">
        <v>7.5209674547633554E-3</v>
      </c>
      <c r="EC63" s="32">
        <v>9.4672602968122466E-3</v>
      </c>
      <c r="ED63" s="32">
        <v>1.195080129724721E-2</v>
      </c>
      <c r="EE63" s="32">
        <v>1.5152138789416486E-2</v>
      </c>
      <c r="EF63" s="32">
        <v>1.9323957334698272E-2</v>
      </c>
      <c r="EG63" s="32">
        <v>2.4824344748910793E-2</v>
      </c>
      <c r="EH63" s="32">
        <v>3.2197564530939027E-2</v>
      </c>
      <c r="EI63" s="32">
        <v>4.2636768082867843E-2</v>
      </c>
      <c r="EJ63" s="32">
        <v>6.2337263689809408E-2</v>
      </c>
      <c r="EK63" s="32">
        <v>0.5</v>
      </c>
      <c r="EL63" s="32"/>
      <c r="EM63" s="32">
        <v>9.5852376002073871</v>
      </c>
      <c r="EN63" s="32">
        <v>9.1970287373185062</v>
      </c>
      <c r="EO63" s="32">
        <v>8.7500762629486619</v>
      </c>
      <c r="EP63" s="32">
        <v>8.2360014992159893</v>
      </c>
      <c r="EQ63" s="32">
        <v>7.6437752649892801</v>
      </c>
      <c r="ER63" s="32">
        <v>6.9591324321184773</v>
      </c>
      <c r="ES63" s="32">
        <v>6.1638307499552969</v>
      </c>
      <c r="ET63" s="32">
        <v>5.2344744878990053</v>
      </c>
      <c r="EU63" s="32">
        <v>4.1374087063980216</v>
      </c>
      <c r="EV63" s="32">
        <v>2.7865942188780863</v>
      </c>
      <c r="EW63" s="32">
        <v>0</v>
      </c>
      <c r="EX63" s="32"/>
      <c r="EY63" s="32">
        <v>0.41699927077426402</v>
      </c>
      <c r="EZ63" s="32">
        <v>0.4408846322640203</v>
      </c>
      <c r="FA63" s="32">
        <v>0.46452504653674698</v>
      </c>
      <c r="FB63" s="32">
        <v>0.48761288626616128</v>
      </c>
      <c r="FC63" s="32">
        <v>0.50952961271152386</v>
      </c>
      <c r="FD63" s="32">
        <v>0.52916334574797741</v>
      </c>
      <c r="FE63" s="32">
        <v>0.54463920573304447</v>
      </c>
      <c r="FF63" s="32">
        <v>0.55307448481214339</v>
      </c>
      <c r="FG63" s="32">
        <v>0.55107107091683449</v>
      </c>
      <c r="FH63" s="32">
        <v>0.5376329889185314</v>
      </c>
      <c r="FI63" s="32">
        <v>0.5</v>
      </c>
      <c r="FJ63" s="32"/>
      <c r="FK63" s="32">
        <v>18.951645105097235</v>
      </c>
      <c r="FL63" s="32">
        <v>19.482895690790059</v>
      </c>
      <c r="FM63" s="32">
        <v>20.07360688760231</v>
      </c>
      <c r="FN63" s="32">
        <v>20.732160967388808</v>
      </c>
      <c r="FO63" s="32">
        <v>21.469590723270311</v>
      </c>
      <c r="FP63" s="32">
        <v>22.300164913492363</v>
      </c>
      <c r="FQ63" s="32">
        <v>23.242129436994826</v>
      </c>
      <c r="FR63" s="32">
        <v>24.318883690957385</v>
      </c>
      <c r="FS63" s="32">
        <v>25.564086299889141</v>
      </c>
      <c r="FT63" s="32">
        <v>27.06378015379293</v>
      </c>
      <c r="FU63" s="32">
        <v>30</v>
      </c>
      <c r="FV63" s="32"/>
      <c r="FW63" s="32">
        <v>-0.4169992707728607</v>
      </c>
      <c r="FX63" s="32">
        <v>-0.44088463226354158</v>
      </c>
      <c r="FY63" s="32">
        <v>-0.46452504653660398</v>
      </c>
      <c r="FZ63" s="32">
        <v>-0.48761288626611865</v>
      </c>
      <c r="GA63" s="32">
        <v>-0.50952961271149277</v>
      </c>
      <c r="GB63" s="32">
        <v>-0.52916334574795343</v>
      </c>
      <c r="GC63" s="32">
        <v>-0.54463920573303071</v>
      </c>
      <c r="GD63" s="32">
        <v>-0.55307448481214827</v>
      </c>
      <c r="GE63" s="32">
        <v>-0.55107107091683361</v>
      </c>
      <c r="GF63" s="32">
        <v>-0.5376329889185385</v>
      </c>
      <c r="GG63" s="32">
        <v>-0.5</v>
      </c>
      <c r="GH63" s="32"/>
      <c r="GI63" s="32">
        <v>9.4445727171976408</v>
      </c>
      <c r="GJ63" s="32">
        <v>8.4063729207847278</v>
      </c>
      <c r="GK63" s="32">
        <v>7.4706340420769797</v>
      </c>
      <c r="GL63" s="32">
        <v>6.6219965278596007</v>
      </c>
      <c r="GM63" s="32">
        <v>5.8480739878896282</v>
      </c>
      <c r="GN63" s="32">
        <v>5.1370769471425941</v>
      </c>
      <c r="GO63" s="32">
        <v>4.4738958948562768</v>
      </c>
      <c r="GP63" s="32">
        <v>3.8317672430490144</v>
      </c>
      <c r="GQ63" s="32">
        <v>3.1521841122157781</v>
      </c>
      <c r="GR63" s="32">
        <v>2.2878917577506561</v>
      </c>
      <c r="GS63" s="32">
        <v>0</v>
      </c>
      <c r="GT63" s="32"/>
      <c r="GU63" s="32">
        <v>-0.19487894315725107</v>
      </c>
      <c r="GV63" s="32">
        <v>-0.22818817867134733</v>
      </c>
      <c r="GW63" s="32">
        <v>-0.26226384798564872</v>
      </c>
      <c r="GX63" s="32">
        <v>-0.29685537490660074</v>
      </c>
      <c r="GY63" s="32">
        <v>-0.33150403791246719</v>
      </c>
      <c r="GZ63" s="32">
        <v>-0.3653711951652836</v>
      </c>
      <c r="HA63" s="32">
        <v>-0.39701566096616858</v>
      </c>
      <c r="HB63" s="32">
        <v>-0.42428277148221438</v>
      </c>
      <c r="HC63" s="32">
        <v>-0.44518403811994167</v>
      </c>
      <c r="HD63" s="32">
        <v>-0.46233393399994471</v>
      </c>
      <c r="HE63" s="32">
        <v>-0.5</v>
      </c>
      <c r="HF63" s="32"/>
      <c r="HG63" s="32">
        <v>2.8879529937468824</v>
      </c>
      <c r="HH63" s="32">
        <v>3.0706879534082105</v>
      </c>
      <c r="HI63" s="32">
        <v>3.253742040784525</v>
      </c>
      <c r="HJ63" s="32">
        <v>3.4339447441210442</v>
      </c>
      <c r="HK63" s="32">
        <v>3.6043645698410742</v>
      </c>
      <c r="HL63" s="32">
        <v>3.7508195129653856</v>
      </c>
      <c r="HM63" s="32">
        <v>3.8442851528557052</v>
      </c>
      <c r="HN63" s="32">
        <v>3.8234201224055275</v>
      </c>
      <c r="HO63" s="32">
        <v>3.5521932644700653</v>
      </c>
      <c r="HP63" s="32">
        <v>2.7184025265252107</v>
      </c>
      <c r="HQ63" s="32">
        <v>0</v>
      </c>
      <c r="HR63" s="32"/>
      <c r="HS63" s="32">
        <v>5.0582919716166685E-2</v>
      </c>
      <c r="HT63" s="32">
        <v>6.4196576948817974E-2</v>
      </c>
      <c r="HU63" s="32">
        <v>8.1716810147368202E-2</v>
      </c>
      <c r="HV63" s="32">
        <v>0.10455328556652388</v>
      </c>
      <c r="HW63" s="32">
        <v>0.13475633303097556</v>
      </c>
      <c r="HX63" s="32">
        <v>0.17533381442058449</v>
      </c>
      <c r="HY63" s="32">
        <v>0.23062501944082969</v>
      </c>
      <c r="HZ63" s="32">
        <v>0.30624658551778872</v>
      </c>
      <c r="IA63" s="32">
        <v>0.40566501596352289</v>
      </c>
      <c r="IB63" s="32">
        <v>0.50707970610766617</v>
      </c>
      <c r="IC63" s="32">
        <v>0.5</v>
      </c>
    </row>
    <row r="64" spans="1:237" ht="20.350000000000001" customHeight="1" x14ac:dyDescent="0.45">
      <c r="V64" s="32">
        <f t="shared" si="2"/>
        <v>120</v>
      </c>
      <c r="W64" s="32">
        <v>26.882275710837266</v>
      </c>
      <c r="X64" s="32">
        <v>26.065508956434016</v>
      </c>
      <c r="Y64" s="32">
        <v>25.270714615306275</v>
      </c>
      <c r="Z64" s="32">
        <v>24.497379026987254</v>
      </c>
      <c r="AA64" s="32">
        <v>23.745825894124913</v>
      </c>
      <c r="AB64" s="32">
        <v>23.017723800209634</v>
      </c>
      <c r="AC64" s="32">
        <v>22.317314226375778</v>
      </c>
      <c r="AD64" s="32">
        <v>21.65355679696787</v>
      </c>
      <c r="AE64" s="32">
        <v>21.042504932942446</v>
      </c>
      <c r="AF64" s="32">
        <v>20.50094102018085</v>
      </c>
      <c r="AG64" s="32">
        <v>20</v>
      </c>
      <c r="AH64" s="32"/>
      <c r="AI64" s="32">
        <v>0.85389842333912291</v>
      </c>
      <c r="AJ64" s="32">
        <v>0.86821824604548503</v>
      </c>
      <c r="AK64" s="32">
        <v>0.88221037502000144</v>
      </c>
      <c r="AL64" s="32">
        <v>0.89652137855790315</v>
      </c>
      <c r="AM64" s="32">
        <v>0.9117706305782427</v>
      </c>
      <c r="AN64" s="32">
        <v>0.92849562105041628</v>
      </c>
      <c r="AO64" s="32">
        <v>0.94702458684084156</v>
      </c>
      <c r="AP64" s="32">
        <v>0.96710282338294462</v>
      </c>
      <c r="AQ64" s="32">
        <v>0.98667118898743489</v>
      </c>
      <c r="AR64" s="32">
        <v>0.99890435595871807</v>
      </c>
      <c r="AS64" s="32">
        <v>1</v>
      </c>
      <c r="AT64" s="32"/>
      <c r="AU64" s="32">
        <v>2.0496232873982856</v>
      </c>
      <c r="AV64" s="32">
        <v>1.684571483164464</v>
      </c>
      <c r="AW64" s="32">
        <v>1.3568328985583504</v>
      </c>
      <c r="AX64" s="32">
        <v>1.0600526776181047</v>
      </c>
      <c r="AY64" s="32">
        <v>0.79083547891732919</v>
      </c>
      <c r="AZ64" s="32">
        <v>0.54877358620851713</v>
      </c>
      <c r="BA64" s="32">
        <v>0.33718473424412909</v>
      </c>
      <c r="BB64" s="32">
        <v>0.16475076418213558</v>
      </c>
      <c r="BC64" s="32">
        <v>4.7488287254949128E-2</v>
      </c>
      <c r="BD64" s="32">
        <v>2.1889290843567634E-3</v>
      </c>
      <c r="BE64" s="32">
        <v>0</v>
      </c>
      <c r="BF64" s="32"/>
      <c r="BG64" s="32">
        <v>-0.14082391336481048</v>
      </c>
      <c r="BH64" s="32">
        <v>-0.12914529480109171</v>
      </c>
      <c r="BI64" s="32">
        <v>-0.116656035995645</v>
      </c>
      <c r="BJ64" s="32">
        <v>-0.10308411322726202</v>
      </c>
      <c r="BK64" s="32">
        <v>-8.8128843601483653E-2</v>
      </c>
      <c r="BL64" s="32">
        <v>-7.148863533920416E-2</v>
      </c>
      <c r="BM64" s="32">
        <v>-5.2974325516791654E-2</v>
      </c>
      <c r="BN64" s="32">
        <v>-3.2897159916603094E-2</v>
      </c>
      <c r="BO64" s="32">
        <v>-1.3328810999493883E-2</v>
      </c>
      <c r="BP64" s="32">
        <v>-1.095644041293327E-3</v>
      </c>
      <c r="BQ64" s="32">
        <v>0</v>
      </c>
      <c r="BR64" s="32"/>
      <c r="BS64" s="32">
        <v>0.77977081819443694</v>
      </c>
      <c r="BT64" s="32">
        <v>0.7996466952020197</v>
      </c>
      <c r="BU64" s="32">
        <v>0.82011352785041969</v>
      </c>
      <c r="BV64" s="32">
        <v>0.84156456752327891</v>
      </c>
      <c r="BW64" s="32">
        <v>0.86441375149832667</v>
      </c>
      <c r="BX64" s="32">
        <v>0.88907877842470762</v>
      </c>
      <c r="BY64" s="32">
        <v>0.91587286292650227</v>
      </c>
      <c r="BZ64" s="32">
        <v>0.94459520513475415</v>
      </c>
      <c r="CA64" s="32">
        <v>0.97310710717006244</v>
      </c>
      <c r="CB64" s="32">
        <v>0.99349026572455301</v>
      </c>
      <c r="CC64" s="32">
        <v>1</v>
      </c>
      <c r="CD64" s="32"/>
      <c r="CE64" s="32">
        <v>9.3613282919927099E-3</v>
      </c>
      <c r="CF64" s="32">
        <v>9.5952017991710048E-3</v>
      </c>
      <c r="CG64" s="32">
        <v>9.7586743634496265E-3</v>
      </c>
      <c r="CH64" s="32">
        <v>9.8173087112731205E-3</v>
      </c>
      <c r="CI64" s="32">
        <v>9.7118246075194037E-3</v>
      </c>
      <c r="CJ64" s="32">
        <v>9.3393946760381152E-3</v>
      </c>
      <c r="CK64" s="32">
        <v>8.5194147626722061E-3</v>
      </c>
      <c r="CL64" s="32">
        <v>6.9409761644167456E-3</v>
      </c>
      <c r="CM64" s="32">
        <v>4.1798581807832025E-3</v>
      </c>
      <c r="CN64" s="32">
        <v>7.0160565733468072E-4</v>
      </c>
      <c r="CO64" s="32">
        <v>0</v>
      </c>
      <c r="CP64" s="32"/>
      <c r="CQ64" s="32">
        <v>0.16138440265272685</v>
      </c>
      <c r="CR64" s="32">
        <v>0.14606431053403648</v>
      </c>
      <c r="CS64" s="32">
        <v>0.1302572094379679</v>
      </c>
      <c r="CT64" s="32">
        <v>0.11360940684695746</v>
      </c>
      <c r="CU64" s="32">
        <v>9.5773660477285832E-2</v>
      </c>
      <c r="CV64" s="32">
        <v>7.6445603359007422E-2</v>
      </c>
      <c r="CW64" s="32">
        <v>5.5505925183465137E-2</v>
      </c>
      <c r="CX64" s="32">
        <v>3.3474864768858623E-2</v>
      </c>
      <c r="CY64" s="32">
        <v>1.2874706043737368E-2</v>
      </c>
      <c r="CZ64" s="32">
        <v>9.2127169511600456E-4</v>
      </c>
      <c r="DA64" s="32">
        <v>0</v>
      </c>
      <c r="DB64" s="32"/>
      <c r="DC64" s="32">
        <v>-9.0063887548091082E-3</v>
      </c>
      <c r="DD64" s="32">
        <v>-9.1742588477108644E-3</v>
      </c>
      <c r="DE64" s="32">
        <v>-9.2609083822664112E-3</v>
      </c>
      <c r="DF64" s="32">
        <v>-9.2297921271935965E-3</v>
      </c>
      <c r="DG64" s="32">
        <v>-9.0201062325095116E-3</v>
      </c>
      <c r="DH64" s="32">
        <v>-8.5304022093046009E-3</v>
      </c>
      <c r="DI64" s="32">
        <v>-7.591751136899267E-3</v>
      </c>
      <c r="DJ64" s="32">
        <v>-5.93909327615578E-3</v>
      </c>
      <c r="DK64" s="32">
        <v>-3.3010467006510122E-3</v>
      </c>
      <c r="DL64" s="32">
        <v>-4.4109966272160717E-4</v>
      </c>
      <c r="DM64" s="32">
        <v>0</v>
      </c>
      <c r="DN64" s="32"/>
      <c r="DO64" s="32">
        <v>0.37479986884139671</v>
      </c>
      <c r="DP64" s="32">
        <v>0.40335360754726757</v>
      </c>
      <c r="DQ64" s="32">
        <v>0.43481847822256042</v>
      </c>
      <c r="DR64" s="32">
        <v>0.47009148587997174</v>
      </c>
      <c r="DS64" s="32">
        <v>0.51037051098396502</v>
      </c>
      <c r="DT64" s="32">
        <v>0.55733044469417015</v>
      </c>
      <c r="DU64" s="32">
        <v>0.61341946253041602</v>
      </c>
      <c r="DV64" s="32">
        <v>0.6823907312455556</v>
      </c>
      <c r="DW64" s="32">
        <v>0.77038466955279361</v>
      </c>
      <c r="DX64" s="32">
        <v>0.88916119808210914</v>
      </c>
      <c r="DY64" s="32">
        <v>1</v>
      </c>
      <c r="DZ64" s="32"/>
      <c r="EA64" s="32">
        <v>-4.6947772231449025E-3</v>
      </c>
      <c r="EB64" s="32">
        <v>-5.6337075690707783E-3</v>
      </c>
      <c r="EC64" s="32">
        <v>-6.7557346713716382E-3</v>
      </c>
      <c r="ED64" s="32">
        <v>-8.1266164626458137E-3</v>
      </c>
      <c r="EE64" s="32">
        <v>-9.8441029391326262E-3</v>
      </c>
      <c r="EF64" s="32">
        <v>-1.20558157206761E-2</v>
      </c>
      <c r="EG64" s="32">
        <v>-1.4981474440893316E-2</v>
      </c>
      <c r="EH64" s="32">
        <v>-1.8898846093967192E-2</v>
      </c>
      <c r="EI64" s="32">
        <v>-2.3746566040424466E-2</v>
      </c>
      <c r="EJ64" s="32">
        <v>-2.5118052194046891E-2</v>
      </c>
      <c r="EK64" s="32">
        <v>0</v>
      </c>
      <c r="EL64" s="32"/>
      <c r="EM64" s="32">
        <v>17.979979156856189</v>
      </c>
      <c r="EN64" s="32">
        <v>18.214504801511662</v>
      </c>
      <c r="EO64" s="32">
        <v>18.439030473876446</v>
      </c>
      <c r="EP64" s="32">
        <v>18.658710924516047</v>
      </c>
      <c r="EQ64" s="32">
        <v>18.879059433165569</v>
      </c>
      <c r="ER64" s="32">
        <v>19.10653846421981</v>
      </c>
      <c r="ES64" s="32">
        <v>19.349100202258054</v>
      </c>
      <c r="ET64" s="32">
        <v>19.61583549035652</v>
      </c>
      <c r="EU64" s="32">
        <v>19.910282557291669</v>
      </c>
      <c r="EV64" s="32">
        <v>20.178553734998307</v>
      </c>
      <c r="EW64" s="32">
        <v>20</v>
      </c>
      <c r="EX64" s="32"/>
      <c r="EY64" s="32">
        <v>0.38434706486999737</v>
      </c>
      <c r="EZ64" s="32">
        <v>0.41335793050948944</v>
      </c>
      <c r="FA64" s="32">
        <v>0.44520201752384736</v>
      </c>
      <c r="FB64" s="32">
        <v>0.48077861083238282</v>
      </c>
      <c r="FC64" s="32">
        <v>0.52128742330775424</v>
      </c>
      <c r="FD64" s="32">
        <v>0.56840470523227538</v>
      </c>
      <c r="FE64" s="32">
        <v>0.62458261184908181</v>
      </c>
      <c r="FF64" s="32">
        <v>0.69359081409060153</v>
      </c>
      <c r="FG64" s="32">
        <v>0.78160668463951666</v>
      </c>
      <c r="FH64" s="32">
        <v>0.89978146921922963</v>
      </c>
      <c r="FI64" s="32">
        <v>1</v>
      </c>
      <c r="FJ64" s="32"/>
      <c r="FK64" s="32">
        <v>10.556903548577811</v>
      </c>
      <c r="FL64" s="32">
        <v>10.465419626654771</v>
      </c>
      <c r="FM64" s="32">
        <v>10.38465267669665</v>
      </c>
      <c r="FN64" s="32">
        <v>10.309451542095669</v>
      </c>
      <c r="FO64" s="32">
        <v>10.234306555095829</v>
      </c>
      <c r="FP64" s="32">
        <v>10.1527588813916</v>
      </c>
      <c r="FQ64" s="32">
        <v>10.056859984692492</v>
      </c>
      <c r="FR64" s="32">
        <v>9.9375226885001755</v>
      </c>
      <c r="FS64" s="32">
        <v>9.7912124489956938</v>
      </c>
      <c r="FT64" s="32">
        <v>9.6718206376727576</v>
      </c>
      <c r="FU64" s="32">
        <v>10</v>
      </c>
      <c r="FV64" s="32"/>
      <c r="FW64" s="32">
        <v>-0.38434706485365222</v>
      </c>
      <c r="FX64" s="32">
        <v>-0.4133579305013102</v>
      </c>
      <c r="FY64" s="32">
        <v>-0.44520201752031063</v>
      </c>
      <c r="FZ64" s="32">
        <v>-0.48077861083114204</v>
      </c>
      <c r="GA64" s="32">
        <v>-0.52128742330742384</v>
      </c>
      <c r="GB64" s="32">
        <v>-0.56840470523222031</v>
      </c>
      <c r="GC64" s="32">
        <v>-0.62458261184906672</v>
      </c>
      <c r="GD64" s="32">
        <v>-0.69359081409058732</v>
      </c>
      <c r="GE64" s="32">
        <v>-0.78160668463949801</v>
      </c>
      <c r="GF64" s="32">
        <v>-0.89978146921921542</v>
      </c>
      <c r="GG64" s="32">
        <v>-1</v>
      </c>
      <c r="GH64" s="32"/>
      <c r="GI64" s="32">
        <v>10.951919841379379</v>
      </c>
      <c r="GJ64" s="32">
        <v>9.5355756380868346</v>
      </c>
      <c r="GK64" s="32">
        <v>8.1885170399881915</v>
      </c>
      <c r="GL64" s="32">
        <v>6.8987207800893113</v>
      </c>
      <c r="GM64" s="32">
        <v>5.6576019398766819</v>
      </c>
      <c r="GN64" s="32">
        <v>4.4599589221983544</v>
      </c>
      <c r="GO64" s="32">
        <v>3.305398758361866</v>
      </c>
      <c r="GP64" s="32">
        <v>2.2024720707935019</v>
      </c>
      <c r="GQ64" s="32">
        <v>1.1797106629057383</v>
      </c>
      <c r="GR64" s="32">
        <v>0.32457621426690275</v>
      </c>
      <c r="GS64" s="32">
        <v>0</v>
      </c>
      <c r="GT64" s="32"/>
      <c r="GU64" s="32">
        <v>0.32872744510431406</v>
      </c>
      <c r="GV64" s="32">
        <v>0.32571502073490155</v>
      </c>
      <c r="GW64" s="32">
        <v>0.32035232150051129</v>
      </c>
      <c r="GX64" s="32">
        <v>0.31265865449825769</v>
      </c>
      <c r="GY64" s="32">
        <v>0.30235436366900359</v>
      </c>
      <c r="GZ64" s="32">
        <v>0.28860228047893566</v>
      </c>
      <c r="HA64" s="32">
        <v>0.26946764947496726</v>
      </c>
      <c r="HB64" s="32">
        <v>0.24061484937573885</v>
      </c>
      <c r="HC64" s="32">
        <v>0.19173569334842555</v>
      </c>
      <c r="HD64" s="32">
        <v>9.8027242698195224E-2</v>
      </c>
      <c r="HE64" s="32">
        <v>0</v>
      </c>
      <c r="HF64" s="32"/>
      <c r="HG64" s="32">
        <v>2.9743752317255301</v>
      </c>
      <c r="HH64" s="32">
        <v>3.2124319681504963</v>
      </c>
      <c r="HI64" s="32">
        <v>3.4778122968123757</v>
      </c>
      <c r="HJ64" s="32">
        <v>3.7796004250387152</v>
      </c>
      <c r="HK64" s="32">
        <v>4.1305612168657779</v>
      </c>
      <c r="HL64" s="32">
        <v>4.5496884934629556</v>
      </c>
      <c r="HM64" s="32">
        <v>5.0670989348501703</v>
      </c>
      <c r="HN64" s="32">
        <v>5.7344120927032369</v>
      </c>
      <c r="HO64" s="32">
        <v>6.6497915779588359</v>
      </c>
      <c r="HP64" s="32">
        <v>8.0314780071487561</v>
      </c>
      <c r="HQ64" s="32">
        <v>10</v>
      </c>
      <c r="HR64" s="32"/>
      <c r="HS64" s="32">
        <v>-3.8058789987467811E-2</v>
      </c>
      <c r="HT64" s="32">
        <v>-4.6208437270261582E-2</v>
      </c>
      <c r="HU64" s="32">
        <v>-5.6211471508869515E-2</v>
      </c>
      <c r="HV64" s="32">
        <v>-6.8860006209995772E-2</v>
      </c>
      <c r="HW64" s="32">
        <v>-8.5448476328981116E-2</v>
      </c>
      <c r="HX64" s="32">
        <v>-0.10822946554098545</v>
      </c>
      <c r="HY64" s="32">
        <v>-0.14145546493093253</v>
      </c>
      <c r="HZ64" s="32">
        <v>-0.19407199575926093</v>
      </c>
      <c r="IA64" s="32">
        <v>-0.28794534771410385</v>
      </c>
      <c r="IB64" s="32">
        <v>-0.48969629099274803</v>
      </c>
      <c r="IC64" s="32">
        <v>-1</v>
      </c>
    </row>
    <row r="65" spans="22:237" ht="20.350000000000001" customHeight="1" x14ac:dyDescent="0.45">
      <c r="V65" s="32">
        <f t="shared" si="2"/>
        <v>140</v>
      </c>
      <c r="W65" s="32">
        <v>44.99781516306421</v>
      </c>
      <c r="X65" s="32">
        <v>44.514906885936547</v>
      </c>
      <c r="Y65" s="32">
        <v>44.017166549936256</v>
      </c>
      <c r="Z65" s="32">
        <v>43.510134711955423</v>
      </c>
      <c r="AA65" s="32">
        <v>42.999667027639077</v>
      </c>
      <c r="AB65" s="32">
        <v>42.491055996596664</v>
      </c>
      <c r="AC65" s="32">
        <v>41.987790051560687</v>
      </c>
      <c r="AD65" s="32">
        <v>41.490173725389845</v>
      </c>
      <c r="AE65" s="32">
        <v>40.995071696152117</v>
      </c>
      <c r="AF65" s="32">
        <v>40.498752123451908</v>
      </c>
      <c r="AG65" s="32">
        <v>40</v>
      </c>
      <c r="AH65" s="32"/>
      <c r="AI65" s="32">
        <v>0.93353020635682071</v>
      </c>
      <c r="AJ65" s="32">
        <v>0.95171140475983407</v>
      </c>
      <c r="AK65" s="32">
        <v>0.96689292685957184</v>
      </c>
      <c r="AL65" s="32">
        <v>0.97902372358037937</v>
      </c>
      <c r="AM65" s="32">
        <v>0.98812572481467242</v>
      </c>
      <c r="AN65" s="32">
        <v>0.99433900722139512</v>
      </c>
      <c r="AO65" s="32">
        <v>0.99797678147795921</v>
      </c>
      <c r="AP65" s="32">
        <v>0.99958591688229603</v>
      </c>
      <c r="AQ65" s="32">
        <v>0.99997763113967153</v>
      </c>
      <c r="AR65" s="32">
        <v>0.99999997942287777</v>
      </c>
      <c r="AS65" s="32">
        <v>1</v>
      </c>
      <c r="AT65" s="32"/>
      <c r="AU65" s="32">
        <v>0.46108409381220672</v>
      </c>
      <c r="AV65" s="32">
        <v>0.31372258341892678</v>
      </c>
      <c r="AW65" s="32">
        <v>0.20203184373262001</v>
      </c>
      <c r="AX65" s="32">
        <v>0.12002815112520274</v>
      </c>
      <c r="AY65" s="32">
        <v>6.3160145920994559E-2</v>
      </c>
      <c r="AZ65" s="32">
        <v>2.7431244021396219E-2</v>
      </c>
      <c r="BA65" s="32">
        <v>8.5828899083694229E-3</v>
      </c>
      <c r="BB65" s="32">
        <v>1.4295309366860209E-3</v>
      </c>
      <c r="BC65" s="32">
        <v>5.5575639085659775E-5</v>
      </c>
      <c r="BD65" s="32">
        <v>3.2382657595464677E-8</v>
      </c>
      <c r="BE65" s="32">
        <v>0</v>
      </c>
      <c r="BF65" s="32"/>
      <c r="BG65" s="32">
        <v>-3.6956644250454224E-2</v>
      </c>
      <c r="BH65" s="32">
        <v>-2.8564866457516075E-2</v>
      </c>
      <c r="BI65" s="32">
        <v>-2.1027241497774116E-2</v>
      </c>
      <c r="BJ65" s="32">
        <v>-1.4424728629563295E-2</v>
      </c>
      <c r="BK65" s="32">
        <v>-8.8994203416769627E-3</v>
      </c>
      <c r="BL65" s="32">
        <v>-4.6364015419248939E-3</v>
      </c>
      <c r="BM65" s="32">
        <v>-1.8021722043801871E-3</v>
      </c>
      <c r="BN65" s="32">
        <v>-3.9451817394679323E-4</v>
      </c>
      <c r="BO65" s="32">
        <v>-2.2132201501987795E-5</v>
      </c>
      <c r="BP65" s="32">
        <v>-2.0558877479617321E-8</v>
      </c>
      <c r="BQ65" s="32">
        <v>0</v>
      </c>
      <c r="BR65" s="32"/>
      <c r="BS65" s="32">
        <v>0.90170362421587424</v>
      </c>
      <c r="BT65" s="32">
        <v>0.91787313215854527</v>
      </c>
      <c r="BU65" s="32">
        <v>0.93277325815934675</v>
      </c>
      <c r="BV65" s="32">
        <v>0.94636863316445929</v>
      </c>
      <c r="BW65" s="32">
        <v>0.95852754743207813</v>
      </c>
      <c r="BX65" s="32">
        <v>0.96904642572683286</v>
      </c>
      <c r="BY65" s="32">
        <v>0.97772499336431073</v>
      </c>
      <c r="BZ65" s="32">
        <v>0.98455455567181827</v>
      </c>
      <c r="CA65" s="32">
        <v>0.99001678319026754</v>
      </c>
      <c r="CB65" s="32">
        <v>0.99501244520611154</v>
      </c>
      <c r="CC65" s="32">
        <v>1</v>
      </c>
      <c r="CD65" s="32"/>
      <c r="CE65" s="32">
        <v>3.4195650889379259E-3</v>
      </c>
      <c r="CF65" s="32">
        <v>3.016749197469526E-3</v>
      </c>
      <c r="CG65" s="32">
        <v>2.5571565861077228E-3</v>
      </c>
      <c r="CH65" s="32">
        <v>2.0467563437078784E-3</v>
      </c>
      <c r="CI65" s="32">
        <v>1.5018704624758517E-3</v>
      </c>
      <c r="CJ65" s="32">
        <v>9.5733530228936381E-4</v>
      </c>
      <c r="CK65" s="32">
        <v>4.7556642988416664E-4</v>
      </c>
      <c r="CL65" s="32">
        <v>1.4293292396377888E-4</v>
      </c>
      <c r="CM65" s="32">
        <v>1.2481081345327993E-5</v>
      </c>
      <c r="CN65" s="32">
        <v>2.1066995425922386E-8</v>
      </c>
      <c r="CO65" s="32">
        <v>0</v>
      </c>
      <c r="CP65" s="32"/>
      <c r="CQ65" s="32">
        <v>4.5515428290141026E-2</v>
      </c>
      <c r="CR65" s="32">
        <v>3.4615227488284099E-2</v>
      </c>
      <c r="CS65" s="32">
        <v>2.5068333028873548E-2</v>
      </c>
      <c r="CT65" s="32">
        <v>1.6901895274474343E-2</v>
      </c>
      <c r="CU65" s="32">
        <v>1.0226754740684423E-2</v>
      </c>
      <c r="CV65" s="32">
        <v>5.2038830405251573E-3</v>
      </c>
      <c r="CW65" s="32">
        <v>1.9603519064929128E-3</v>
      </c>
      <c r="CX65" s="32">
        <v>4.0930860837920508E-4</v>
      </c>
      <c r="CY65" s="32">
        <v>2.1102180333740402E-5</v>
      </c>
      <c r="CZ65" s="32">
        <v>1.6715338773925573E-8</v>
      </c>
      <c r="DA65" s="32">
        <v>0</v>
      </c>
      <c r="DB65" s="32"/>
      <c r="DC65" s="32">
        <v>-3.1961586687364214E-3</v>
      </c>
      <c r="DD65" s="32">
        <v>-2.7877106841419537E-3</v>
      </c>
      <c r="DE65" s="32">
        <v>-2.3304638200403443E-3</v>
      </c>
      <c r="DF65" s="32">
        <v>-1.8330657362501295E-3</v>
      </c>
      <c r="DG65" s="32">
        <v>-1.3147280413967509E-3</v>
      </c>
      <c r="DH65" s="32">
        <v>-8.1212587214217914E-4</v>
      </c>
      <c r="DI65" s="32">
        <v>-3.8515524711536483E-4</v>
      </c>
      <c r="DJ65" s="32">
        <v>-1.0734065539468328E-4</v>
      </c>
      <c r="DK65" s="32">
        <v>-8.1410635073483895E-6</v>
      </c>
      <c r="DL65" s="32">
        <v>-1.0511250782367419E-8</v>
      </c>
      <c r="DM65" s="32">
        <v>0</v>
      </c>
      <c r="DN65" s="32"/>
      <c r="DO65" s="32">
        <v>0.23466574632584672</v>
      </c>
      <c r="DP65" s="32">
        <v>0.23680849712667168</v>
      </c>
      <c r="DQ65" s="32">
        <v>0.23717427885260417</v>
      </c>
      <c r="DR65" s="32">
        <v>0.23523702172595087</v>
      </c>
      <c r="DS65" s="32">
        <v>0.23018375474968589</v>
      </c>
      <c r="DT65" s="32">
        <v>0.22078261284968287</v>
      </c>
      <c r="DU65" s="32">
        <v>0.20513238224769129</v>
      </c>
      <c r="DV65" s="32">
        <v>0.18010137636685813</v>
      </c>
      <c r="DW65" s="32">
        <v>0.13967645598056896</v>
      </c>
      <c r="DX65" s="32">
        <v>6.9905146186576436E-2</v>
      </c>
      <c r="DY65" s="32">
        <v>0</v>
      </c>
      <c r="DZ65" s="32"/>
      <c r="EA65" s="32">
        <v>-7.7887828799264591E-3</v>
      </c>
      <c r="EB65" s="32">
        <v>-9.006882736344729E-3</v>
      </c>
      <c r="EC65" s="32">
        <v>-1.0356368524288548E-2</v>
      </c>
      <c r="ED65" s="32">
        <v>-1.1849923076247076E-2</v>
      </c>
      <c r="EE65" s="32">
        <v>-1.3493478014127439E-2</v>
      </c>
      <c r="EF65" s="32">
        <v>-1.5274682613911017E-2</v>
      </c>
      <c r="EG65" s="32">
        <v>-1.7139100380867828E-2</v>
      </c>
      <c r="EH65" s="32">
        <v>-1.892924466423157E-2</v>
      </c>
      <c r="EI65" s="32">
        <v>-2.0112829099569324E-2</v>
      </c>
      <c r="EJ65" s="32">
        <v>-1.7542887330441126E-2</v>
      </c>
      <c r="EK65" s="32">
        <v>0</v>
      </c>
      <c r="EL65" s="32"/>
      <c r="EM65" s="32">
        <v>24.075407836944599</v>
      </c>
      <c r="EN65" s="32">
        <v>24.630072200735377</v>
      </c>
      <c r="EO65" s="32">
        <v>25.184473026730714</v>
      </c>
      <c r="EP65" s="32">
        <v>25.746100064250747</v>
      </c>
      <c r="EQ65" s="32">
        <v>26.322008139935548</v>
      </c>
      <c r="ER65" s="32">
        <v>26.918949140673138</v>
      </c>
      <c r="ES65" s="32">
        <v>27.543279877530725</v>
      </c>
      <c r="ET65" s="32">
        <v>28.200362844114892</v>
      </c>
      <c r="EU65" s="32">
        <v>28.891508416958317</v>
      </c>
      <c r="EV65" s="32">
        <v>29.58890001912971</v>
      </c>
      <c r="EW65" s="32">
        <v>30</v>
      </c>
      <c r="EX65" s="32"/>
      <c r="EY65" s="32">
        <v>0.22030526428462593</v>
      </c>
      <c r="EZ65" s="32">
        <v>0.2230449041937117</v>
      </c>
      <c r="FA65" s="32">
        <v>0.22420470207829801</v>
      </c>
      <c r="FB65" s="32">
        <v>0.22331319169943065</v>
      </c>
      <c r="FC65" s="32">
        <v>0.2196570141403491</v>
      </c>
      <c r="FD65" s="32">
        <v>0.2121453461265137</v>
      </c>
      <c r="FE65" s="32">
        <v>0.19905577309113198</v>
      </c>
      <c r="FF65" s="32">
        <v>0.1774419479109266</v>
      </c>
      <c r="FG65" s="32">
        <v>0.14132964534400472</v>
      </c>
      <c r="FH65" s="32">
        <v>7.5595805907157754E-2</v>
      </c>
      <c r="FI65" s="32">
        <v>0</v>
      </c>
      <c r="FJ65" s="32"/>
      <c r="FK65" s="32">
        <v>4.4614748694026041</v>
      </c>
      <c r="FL65" s="32">
        <v>4.0498522279871159</v>
      </c>
      <c r="FM65" s="32">
        <v>3.6392101241485726</v>
      </c>
      <c r="FN65" s="32">
        <v>3.2220624025077367</v>
      </c>
      <c r="FO65" s="32">
        <v>2.7913578483834964</v>
      </c>
      <c r="FP65" s="32">
        <v>2.3403482049550224</v>
      </c>
      <c r="FQ65" s="32">
        <v>1.8626803094228772</v>
      </c>
      <c r="FR65" s="32">
        <v>1.3529953347421599</v>
      </c>
      <c r="FS65" s="32">
        <v>0.8099865893291659</v>
      </c>
      <c r="FT65" s="32">
        <v>0.26147435354147419</v>
      </c>
      <c r="FU65" s="32">
        <v>0</v>
      </c>
      <c r="FV65" s="32"/>
      <c r="FW65" s="32">
        <v>-0.22030526419370444</v>
      </c>
      <c r="FX65" s="32">
        <v>-0.22304490413279066</v>
      </c>
      <c r="FY65" s="32">
        <v>-0.22420470204090903</v>
      </c>
      <c r="FZ65" s="32">
        <v>-0.22331319167910402</v>
      </c>
      <c r="GA65" s="32">
        <v>-0.21965701413110139</v>
      </c>
      <c r="GB65" s="32">
        <v>-0.21214534612331715</v>
      </c>
      <c r="GC65" s="32">
        <v>-0.19905577309044675</v>
      </c>
      <c r="GD65" s="32">
        <v>-0.17744194791086765</v>
      </c>
      <c r="GE65" s="32">
        <v>-0.14132964534399817</v>
      </c>
      <c r="GF65" s="32">
        <v>-7.5595805907161306E-2</v>
      </c>
      <c r="GG65" s="32">
        <v>0</v>
      </c>
      <c r="GH65" s="32"/>
      <c r="GI65" s="32">
        <v>21.383491419931815</v>
      </c>
      <c r="GJ65" s="32">
        <v>20.198557268620075</v>
      </c>
      <c r="GK65" s="32">
        <v>19.03472536693814</v>
      </c>
      <c r="GL65" s="32">
        <v>17.884062798829888</v>
      </c>
      <c r="GM65" s="32">
        <v>16.740819033624533</v>
      </c>
      <c r="GN65" s="32">
        <v>15.599538099944938</v>
      </c>
      <c r="GO65" s="32">
        <v>14.453093063938352</v>
      </c>
      <c r="GP65" s="32">
        <v>13.291240412211671</v>
      </c>
      <c r="GQ65" s="32">
        <v>12.103618854832916</v>
      </c>
      <c r="GR65" s="32">
        <v>10.909852136704849</v>
      </c>
      <c r="GS65" s="32">
        <v>10</v>
      </c>
      <c r="GT65" s="32"/>
      <c r="GU65" s="32">
        <v>0.67626829782173914</v>
      </c>
      <c r="GV65" s="32">
        <v>0.70010163410860748</v>
      </c>
      <c r="GW65" s="32">
        <v>0.72166098328349371</v>
      </c>
      <c r="GX65" s="32">
        <v>0.74128580325138849</v>
      </c>
      <c r="GY65" s="32">
        <v>0.75956929033264142</v>
      </c>
      <c r="GZ65" s="32">
        <v>0.77755725955295674</v>
      </c>
      <c r="HA65" s="32">
        <v>0.79711883618244883</v>
      </c>
      <c r="HB65" s="32">
        <v>0.82174945079741946</v>
      </c>
      <c r="HC65" s="32">
        <v>0.85862585359416599</v>
      </c>
      <c r="HD65" s="32">
        <v>0.92440415295684009</v>
      </c>
      <c r="HE65" s="32">
        <v>1</v>
      </c>
      <c r="HF65" s="32"/>
      <c r="HG65" s="32">
        <v>1.8326109856647119</v>
      </c>
      <c r="HH65" s="32">
        <v>1.8433261541387997</v>
      </c>
      <c r="HI65" s="32">
        <v>1.836353120890299</v>
      </c>
      <c r="HJ65" s="32">
        <v>1.8056238034366161</v>
      </c>
      <c r="HK65" s="32">
        <v>1.7417753156764568</v>
      </c>
      <c r="HL65" s="32">
        <v>1.6306529180898583</v>
      </c>
      <c r="HM65" s="32">
        <v>1.4512912196129084</v>
      </c>
      <c r="HN65" s="32">
        <v>1.1746147775318465</v>
      </c>
      <c r="HO65" s="32">
        <v>0.77028225089952229</v>
      </c>
      <c r="HP65" s="32">
        <v>0.2605627426862907</v>
      </c>
      <c r="HQ65" s="32">
        <v>0</v>
      </c>
      <c r="HR65" s="32"/>
      <c r="HS65" s="32">
        <v>-6.3131906806359606E-2</v>
      </c>
      <c r="HT65" s="32">
        <v>-7.3356818375508115E-2</v>
      </c>
      <c r="HU65" s="32">
        <v>-8.4700768145224981E-2</v>
      </c>
      <c r="HV65" s="32">
        <v>-9.7189822978665963E-2</v>
      </c>
      <c r="HW65" s="32">
        <v>-0.11065236016497859</v>
      </c>
      <c r="HX65" s="32">
        <v>-0.12441655522178041</v>
      </c>
      <c r="HY65" s="32">
        <v>-0.13660006677288716</v>
      </c>
      <c r="HZ65" s="32">
        <v>-0.14240849921481524</v>
      </c>
      <c r="IA65" s="32">
        <v>-0.1301952670093372</v>
      </c>
      <c r="IB65" s="32">
        <v>-7.5141718385309808E-2</v>
      </c>
      <c r="IC65" s="32">
        <v>0</v>
      </c>
    </row>
    <row r="66" spans="22:237" ht="20.350000000000001" customHeight="1" x14ac:dyDescent="0.45">
      <c r="V66" s="32">
        <f t="shared" si="2"/>
        <v>160</v>
      </c>
      <c r="W66" s="32">
        <v>63.456023858255712</v>
      </c>
      <c r="X66" s="32">
        <v>63.36376888097773</v>
      </c>
      <c r="Y66" s="32">
        <v>63.205681233478167</v>
      </c>
      <c r="Z66" s="32">
        <v>62.98139762406656</v>
      </c>
      <c r="AA66" s="32">
        <v>62.691822015804838</v>
      </c>
      <c r="AB66" s="32">
        <v>62.339830425411641</v>
      </c>
      <c r="AC66" s="32">
        <v>61.931481525841143</v>
      </c>
      <c r="AD66" s="32">
        <v>61.477542420884902</v>
      </c>
      <c r="AE66" s="32">
        <v>60.994146388930304</v>
      </c>
      <c r="AF66" s="32">
        <v>60.498749854209379</v>
      </c>
      <c r="AG66" s="32">
        <v>60</v>
      </c>
      <c r="AH66" s="32"/>
      <c r="AI66" s="32">
        <v>0.89721875589161826</v>
      </c>
      <c r="AJ66" s="32">
        <v>0.91783156522987852</v>
      </c>
      <c r="AK66" s="32">
        <v>0.93714293953594208</v>
      </c>
      <c r="AL66" s="32">
        <v>0.9547357485251986</v>
      </c>
      <c r="AM66" s="32">
        <v>0.97011983738655516</v>
      </c>
      <c r="AN66" s="32">
        <v>0.98273963994574842</v>
      </c>
      <c r="AO66" s="32">
        <v>0.99202785269496729</v>
      </c>
      <c r="AP66" s="32">
        <v>0.99759556846567321</v>
      </c>
      <c r="AQ66" s="32">
        <v>0.99973204788647863</v>
      </c>
      <c r="AR66" s="32">
        <v>0.99999884015092277</v>
      </c>
      <c r="AS66" s="32">
        <v>1</v>
      </c>
      <c r="AT66" s="32"/>
      <c r="AU66" s="32">
        <v>8.4613503823084316E-2</v>
      </c>
      <c r="AV66" s="32">
        <v>4.5185391633878476E-2</v>
      </c>
      <c r="AW66" s="32">
        <v>2.1751460168367286E-2</v>
      </c>
      <c r="AX66" s="32">
        <v>9.0066483293622795E-3</v>
      </c>
      <c r="AY66" s="32">
        <v>2.974439674123884E-3</v>
      </c>
      <c r="AZ66" s="32">
        <v>6.8678873663812195E-4</v>
      </c>
      <c r="BA66" s="32">
        <v>8.6142498749949085E-5</v>
      </c>
      <c r="BB66" s="32">
        <v>3.4110663049712465E-6</v>
      </c>
      <c r="BC66" s="32">
        <v>1.1659349152155937E-8</v>
      </c>
      <c r="BD66" s="32">
        <v>1.6238253419955621E-13</v>
      </c>
      <c r="BE66" s="32">
        <v>0</v>
      </c>
      <c r="BF66" s="32"/>
      <c r="BG66" s="32">
        <v>-7.5475721349301111E-3</v>
      </c>
      <c r="BH66" s="32">
        <v>-4.6316931867815547E-3</v>
      </c>
      <c r="BI66" s="32">
        <v>-2.5795768633006168E-3</v>
      </c>
      <c r="BJ66" s="32">
        <v>-1.2489534838613005E-3</v>
      </c>
      <c r="BK66" s="32">
        <v>-4.8995828882123882E-4</v>
      </c>
      <c r="BL66" s="32">
        <v>-1.3752772598476262E-4</v>
      </c>
      <c r="BM66" s="32">
        <v>-2.1695333632771625E-5</v>
      </c>
      <c r="BN66" s="32">
        <v>-1.1347109699333185E-6</v>
      </c>
      <c r="BO66" s="32">
        <v>-5.4154326201638755E-9</v>
      </c>
      <c r="BP66" s="32">
        <v>-1.059420861344231E-13</v>
      </c>
      <c r="BQ66" s="32">
        <v>0</v>
      </c>
      <c r="BR66" s="32"/>
      <c r="BS66" s="32">
        <v>0.9401471200419601</v>
      </c>
      <c r="BT66" s="32">
        <v>0.94920986197341761</v>
      </c>
      <c r="BU66" s="32">
        <v>0.95700669834689167</v>
      </c>
      <c r="BV66" s="32">
        <v>0.96376672155102716</v>
      </c>
      <c r="BW66" s="32">
        <v>0.96971826102664516</v>
      </c>
      <c r="BX66" s="32">
        <v>0.97510282437835849</v>
      </c>
      <c r="BY66" s="32">
        <v>0.98016521740042195</v>
      </c>
      <c r="BZ66" s="32">
        <v>0.98511011889284217</v>
      </c>
      <c r="CA66" s="32">
        <v>0.99004982428418598</v>
      </c>
      <c r="CB66" s="32">
        <v>0.99501247908884338</v>
      </c>
      <c r="CC66" s="32">
        <v>1</v>
      </c>
      <c r="CD66" s="32"/>
      <c r="CE66" s="32">
        <v>8.8991847776648259E-4</v>
      </c>
      <c r="CF66" s="32">
        <v>6.3127582664906923E-4</v>
      </c>
      <c r="CG66" s="32">
        <v>4.1031006605218856E-4</v>
      </c>
      <c r="CH66" s="32">
        <v>2.3512689405297271E-4</v>
      </c>
      <c r="CI66" s="32">
        <v>1.1141616714793745E-4</v>
      </c>
      <c r="CJ66" s="32">
        <v>3.8915214803258991E-5</v>
      </c>
      <c r="CK66" s="32">
        <v>7.985802122856267E-6</v>
      </c>
      <c r="CL66" s="32">
        <v>5.8082701009931625E-7</v>
      </c>
      <c r="CM66" s="32">
        <v>4.1917010418224265E-9</v>
      </c>
      <c r="CN66" s="32">
        <v>1.2717604747081168E-13</v>
      </c>
      <c r="CO66" s="32">
        <v>0</v>
      </c>
      <c r="CP66" s="32"/>
      <c r="CQ66" s="32">
        <v>9.9553143022042996E-3</v>
      </c>
      <c r="CR66" s="32">
        <v>5.9970808491121843E-3</v>
      </c>
      <c r="CS66" s="32">
        <v>3.2755923598643882E-3</v>
      </c>
      <c r="CT66" s="32">
        <v>1.5525403080041953E-3</v>
      </c>
      <c r="CU66" s="32">
        <v>5.9425509259860383E-4</v>
      </c>
      <c r="CV66" s="32">
        <v>1.6179248784463867E-4</v>
      </c>
      <c r="CW66" s="32">
        <v>2.4492746465964835E-5</v>
      </c>
      <c r="CX66" s="32">
        <v>1.2047465235824003E-6</v>
      </c>
      <c r="CY66" s="32">
        <v>5.2184829773454496E-9</v>
      </c>
      <c r="CZ66" s="32">
        <v>8.9413873792427488E-14</v>
      </c>
      <c r="DA66" s="32">
        <v>0</v>
      </c>
      <c r="DB66" s="32"/>
      <c r="DC66" s="32">
        <v>-8.1042922196016172E-4</v>
      </c>
      <c r="DD66" s="32">
        <v>-5.657112956855637E-4</v>
      </c>
      <c r="DE66" s="32">
        <v>-3.6053514638172178E-4</v>
      </c>
      <c r="DF66" s="32">
        <v>-2.0154880940236822E-4</v>
      </c>
      <c r="DG66" s="32">
        <v>-9.2460012502667893E-5</v>
      </c>
      <c r="DH66" s="32">
        <v>-3.0889840466401968E-5</v>
      </c>
      <c r="DI66" s="32">
        <v>-5.9409098521226096E-6</v>
      </c>
      <c r="DJ66" s="32">
        <v>-3.9036095073836684E-7</v>
      </c>
      <c r="DK66" s="32">
        <v>-2.3909444645295331E-9</v>
      </c>
      <c r="DL66" s="32">
        <v>-5.8113639145795303E-14</v>
      </c>
      <c r="DM66" s="32">
        <v>0</v>
      </c>
      <c r="DN66" s="32"/>
      <c r="DO66" s="32">
        <v>0.10272580142839118</v>
      </c>
      <c r="DP66" s="32">
        <v>9.1616884922705727E-2</v>
      </c>
      <c r="DQ66" s="32">
        <v>7.9280439301575717E-2</v>
      </c>
      <c r="DR66" s="32">
        <v>6.5880742394694991E-2</v>
      </c>
      <c r="DS66" s="32">
        <v>5.1662414007939458E-2</v>
      </c>
      <c r="DT66" s="32">
        <v>3.7062826222963821E-2</v>
      </c>
      <c r="DU66" s="32">
        <v>2.288764475807803E-2</v>
      </c>
      <c r="DV66" s="32">
        <v>1.0581106441623966E-2</v>
      </c>
      <c r="DW66" s="32">
        <v>2.4322138202901161E-3</v>
      </c>
      <c r="DX66" s="32">
        <v>4.4968038404117072E-5</v>
      </c>
      <c r="DY66" s="32">
        <v>0</v>
      </c>
      <c r="DZ66" s="32"/>
      <c r="EA66" s="32">
        <v>-5.0212083552572256E-3</v>
      </c>
      <c r="EB66" s="32">
        <v>-5.1478934123206921E-3</v>
      </c>
      <c r="EC66" s="32">
        <v>-5.153960939387657E-3</v>
      </c>
      <c r="ED66" s="32">
        <v>-4.9978643033695459E-3</v>
      </c>
      <c r="EE66" s="32">
        <v>-4.6318289503818645E-3</v>
      </c>
      <c r="EF66" s="32">
        <v>-4.0055276167143966E-3</v>
      </c>
      <c r="EG66" s="32">
        <v>-3.0797719309669479E-3</v>
      </c>
      <c r="EH66" s="32">
        <v>-1.8753426506807882E-3</v>
      </c>
      <c r="EI66" s="32">
        <v>-6.325513818219628E-4</v>
      </c>
      <c r="EJ66" s="32">
        <v>-2.1335789836298787E-5</v>
      </c>
      <c r="EK66" s="32">
        <v>0</v>
      </c>
      <c r="EL66" s="32"/>
      <c r="EM66" s="32">
        <v>27.051997014457889</v>
      </c>
      <c r="EN66" s="32">
        <v>27.504766846689609</v>
      </c>
      <c r="EO66" s="32">
        <v>27.923880424641695</v>
      </c>
      <c r="EP66" s="32">
        <v>28.310623358898649</v>
      </c>
      <c r="EQ66" s="32">
        <v>28.6645946369011</v>
      </c>
      <c r="ER66" s="32">
        <v>28.983647986184227</v>
      </c>
      <c r="ES66" s="32">
        <v>29.263984975053042</v>
      </c>
      <c r="ET66" s="32">
        <v>29.500956328070661</v>
      </c>
      <c r="EU66" s="32">
        <v>29.692597805310147</v>
      </c>
      <c r="EV66" s="32">
        <v>29.850266841359041</v>
      </c>
      <c r="EW66" s="32">
        <v>30</v>
      </c>
      <c r="EX66" s="32"/>
      <c r="EY66" s="32">
        <v>8.9726204314716895E-2</v>
      </c>
      <c r="EZ66" s="32">
        <v>8.0302229172236395E-2</v>
      </c>
      <c r="FA66" s="32">
        <v>6.9941289773202797E-2</v>
      </c>
      <c r="FB66" s="32">
        <v>5.8638650260583347E-2</v>
      </c>
      <c r="FC66" s="32">
        <v>4.650982818675331E-2</v>
      </c>
      <c r="FD66" s="32">
        <v>3.3863173967883853E-2</v>
      </c>
      <c r="FE66" s="32">
        <v>2.1339670772169583E-2</v>
      </c>
      <c r="FF66" s="32">
        <v>1.0171780199064173E-2</v>
      </c>
      <c r="FG66" s="32">
        <v>2.4712556796284701E-3</v>
      </c>
      <c r="FH66" s="32">
        <v>5.237913075895051E-5</v>
      </c>
      <c r="FI66" s="32">
        <v>0</v>
      </c>
      <c r="FJ66" s="32"/>
      <c r="FK66" s="32">
        <v>1.4848856954695595</v>
      </c>
      <c r="FL66" s="32">
        <v>1.1751575847518583</v>
      </c>
      <c r="FM66" s="32">
        <v>0.89980272818698837</v>
      </c>
      <c r="FN66" s="32">
        <v>0.65753910915288738</v>
      </c>
      <c r="FO66" s="32">
        <v>0.44877135218619479</v>
      </c>
      <c r="FP66" s="32">
        <v>0.27564935983081629</v>
      </c>
      <c r="FQ66" s="32">
        <v>0.14197521204936467</v>
      </c>
      <c r="FR66" s="32">
        <v>5.2401850821321976E-2</v>
      </c>
      <c r="FS66" s="32">
        <v>8.8972009800586047E-3</v>
      </c>
      <c r="FT66" s="32">
        <v>1.0753131215521225E-4</v>
      </c>
      <c r="FU66" s="32">
        <v>0</v>
      </c>
      <c r="FV66" s="32"/>
      <c r="FW66" s="32">
        <v>-8.972620402275322E-2</v>
      </c>
      <c r="FX66" s="32">
        <v>-8.0302228933817443E-2</v>
      </c>
      <c r="FY66" s="32">
        <v>-6.9941289587347744E-2</v>
      </c>
      <c r="FZ66" s="32">
        <v>-5.8638650124515634E-2</v>
      </c>
      <c r="GA66" s="32">
        <v>-4.6509828095680467E-2</v>
      </c>
      <c r="GB66" s="32">
        <v>-3.3863173914714509E-2</v>
      </c>
      <c r="GC66" s="32">
        <v>-2.1339670747437298E-2</v>
      </c>
      <c r="GD66" s="32">
        <v>-1.0171780191579067E-2</v>
      </c>
      <c r="GE66" s="32">
        <v>-2.471255678800321E-3</v>
      </c>
      <c r="GF66" s="32">
        <v>-5.2379130752102567E-5</v>
      </c>
      <c r="GG66" s="32">
        <v>0</v>
      </c>
      <c r="GH66" s="32"/>
      <c r="GI66" s="32">
        <v>36.488640347620894</v>
      </c>
      <c r="GJ66" s="32">
        <v>35.904187425922004</v>
      </c>
      <c r="GK66" s="32">
        <v>35.303552269004825</v>
      </c>
      <c r="GL66" s="32">
        <v>34.679780913497233</v>
      </c>
      <c r="GM66" s="32">
        <v>34.030201818577808</v>
      </c>
      <c r="GN66" s="32">
        <v>33.356869227964005</v>
      </c>
      <c r="GO66" s="32">
        <v>32.667582693286825</v>
      </c>
      <c r="GP66" s="32">
        <v>31.976589503880543</v>
      </c>
      <c r="GQ66" s="32">
        <v>31.301548595279513</v>
      </c>
      <c r="GR66" s="32">
        <v>30.648483012850498</v>
      </c>
      <c r="GS66" s="32">
        <v>30</v>
      </c>
      <c r="GT66" s="32"/>
      <c r="GU66" s="32">
        <v>0.79994497944196752</v>
      </c>
      <c r="GV66" s="32">
        <v>0.83289764287086854</v>
      </c>
      <c r="GW66" s="32">
        <v>0.86462207289944359</v>
      </c>
      <c r="GX66" s="32">
        <v>0.89484814478075592</v>
      </c>
      <c r="GY66" s="32">
        <v>0.92312005091097049</v>
      </c>
      <c r="GZ66" s="32">
        <v>0.94873893825188915</v>
      </c>
      <c r="HA66" s="32">
        <v>0.97066648658916144</v>
      </c>
      <c r="HB66" s="32">
        <v>0.9874226535556474</v>
      </c>
      <c r="HC66" s="32">
        <v>0.99726078679141317</v>
      </c>
      <c r="HD66" s="32">
        <v>0.9999464610200608</v>
      </c>
      <c r="HE66" s="32">
        <v>1</v>
      </c>
      <c r="HF66" s="32"/>
      <c r="HG66" s="32">
        <v>0.77751887404309616</v>
      </c>
      <c r="HH66" s="32">
        <v>0.68276057874404394</v>
      </c>
      <c r="HI66" s="32">
        <v>0.57807352984993154</v>
      </c>
      <c r="HJ66" s="32">
        <v>0.4655589022606974</v>
      </c>
      <c r="HK66" s="32">
        <v>0.34867432407288057</v>
      </c>
      <c r="HL66" s="32">
        <v>0.23341482175425762</v>
      </c>
      <c r="HM66" s="32">
        <v>0.12952908752843828</v>
      </c>
      <c r="HN66" s="32">
        <v>5.0552489734386856E-2</v>
      </c>
      <c r="HO66" s="32">
        <v>8.8397246163517476E-3</v>
      </c>
      <c r="HP66" s="32">
        <v>1.0750952776458462E-4</v>
      </c>
      <c r="HQ66" s="32">
        <v>0</v>
      </c>
      <c r="HR66" s="32"/>
      <c r="HS66" s="32">
        <v>-3.9394897619367986E-2</v>
      </c>
      <c r="HT66" s="32">
        <v>-4.0066096193270617E-2</v>
      </c>
      <c r="HU66" s="32">
        <v>-3.9554029936664237E-2</v>
      </c>
      <c r="HV66" s="32">
        <v>-3.747506194271813E-2</v>
      </c>
      <c r="HW66" s="32">
        <v>-3.3442075239025926E-2</v>
      </c>
      <c r="HX66" s="32">
        <v>-2.7189777243078112E-2</v>
      </c>
      <c r="HY66" s="32">
        <v>-1.8878442204099767E-2</v>
      </c>
      <c r="HZ66" s="32">
        <v>-9.6886331886036868E-3</v>
      </c>
      <c r="IA66" s="32">
        <v>-2.4495772685887928E-3</v>
      </c>
      <c r="IB66" s="32">
        <v>-5.2366227909709347E-5</v>
      </c>
      <c r="IC66" s="32">
        <v>0</v>
      </c>
    </row>
    <row r="67" spans="22:237" ht="20.350000000000001" customHeight="1" x14ac:dyDescent="0.45">
      <c r="V67" s="32">
        <f t="shared" si="2"/>
        <v>180</v>
      </c>
      <c r="W67" s="32">
        <v>80.441799273960839</v>
      </c>
      <c r="X67" s="32">
        <v>80.735955614588917</v>
      </c>
      <c r="Y67" s="32">
        <v>80.976075402404192</v>
      </c>
      <c r="Z67" s="32">
        <v>81.157266828553361</v>
      </c>
      <c r="AA67" s="32">
        <v>81.273503811203014</v>
      </c>
      <c r="AB67" s="32">
        <v>81.31687987069985</v>
      </c>
      <c r="AC67" s="32">
        <v>81.276639145652936</v>
      </c>
      <c r="AD67" s="32">
        <v>81.137987907250121</v>
      </c>
      <c r="AE67" s="32">
        <v>80.881466557219923</v>
      </c>
      <c r="AF67" s="32">
        <v>80.489520912866737</v>
      </c>
      <c r="AG67" s="32">
        <v>80</v>
      </c>
      <c r="AH67" s="32"/>
      <c r="AI67" s="32">
        <v>0.79423969440642139</v>
      </c>
      <c r="AJ67" s="32">
        <v>0.81032892761340491</v>
      </c>
      <c r="AK67" s="32">
        <v>0.82867537618214016</v>
      </c>
      <c r="AL67" s="32">
        <v>0.84933819716655279</v>
      </c>
      <c r="AM67" s="32">
        <v>0.87231855026226413</v>
      </c>
      <c r="AN67" s="32">
        <v>0.89749735918482543</v>
      </c>
      <c r="AO67" s="32">
        <v>0.92449744886216934</v>
      </c>
      <c r="AP67" s="32">
        <v>0.95235192380639688</v>
      </c>
      <c r="AQ67" s="32">
        <v>0.97861276061752278</v>
      </c>
      <c r="AR67" s="32">
        <v>0.99696768144344361</v>
      </c>
      <c r="AS67" s="32">
        <v>1</v>
      </c>
      <c r="AT67" s="32"/>
      <c r="AU67" s="32">
        <v>1.3052227017532147E-2</v>
      </c>
      <c r="AV67" s="32">
        <v>5.2802542337711663E-3</v>
      </c>
      <c r="AW67" s="32">
        <v>1.8082465328224519E-3</v>
      </c>
      <c r="AX67" s="32">
        <v>4.879989440428657E-4</v>
      </c>
      <c r="AY67" s="32">
        <v>9.2413769930618553E-5</v>
      </c>
      <c r="AZ67" s="32">
        <v>1.0040931700426776E-5</v>
      </c>
      <c r="BA67" s="32">
        <v>4.2960559620713556E-7</v>
      </c>
      <c r="BB67" s="32">
        <v>3.4103880438140882E-9</v>
      </c>
      <c r="BC67" s="32">
        <v>1.1090438835964251E-12</v>
      </c>
      <c r="BD67" s="32">
        <v>8.6339730356427673E-19</v>
      </c>
      <c r="BE67" s="32">
        <v>0</v>
      </c>
      <c r="BF67" s="32"/>
      <c r="BG67" s="32">
        <v>-1.3000307091582709E-3</v>
      </c>
      <c r="BH67" s="32">
        <v>-5.9890149237599045E-4</v>
      </c>
      <c r="BI67" s="32">
        <v>-2.3675496956778092E-4</v>
      </c>
      <c r="BJ67" s="32">
        <v>-7.4903749077696001E-5</v>
      </c>
      <c r="BK67" s="32">
        <v>-1.6938449011114984E-5</v>
      </c>
      <c r="BL67" s="32">
        <v>-2.2495375393908872E-6</v>
      </c>
      <c r="BM67" s="32">
        <v>-1.2124587859839795E-7</v>
      </c>
      <c r="BN67" s="32">
        <v>-1.2551553110182449E-9</v>
      </c>
      <c r="BO67" s="32">
        <v>-5.4267942671081523E-13</v>
      </c>
      <c r="BP67" s="32">
        <v>-5.488079519099336E-19</v>
      </c>
      <c r="BQ67" s="32">
        <v>0</v>
      </c>
      <c r="BR67" s="32"/>
      <c r="BS67" s="32">
        <v>0.94923047616990197</v>
      </c>
      <c r="BT67" s="32">
        <v>0.95505889217689377</v>
      </c>
      <c r="BU67" s="32">
        <v>0.96041300797889451</v>
      </c>
      <c r="BV67" s="32">
        <v>0.96548479350922689</v>
      </c>
      <c r="BW67" s="32">
        <v>0.97041786022036114</v>
      </c>
      <c r="BX67" s="32">
        <v>0.97530616265336945</v>
      </c>
      <c r="BY67" s="32">
        <v>0.98019846475782602</v>
      </c>
      <c r="BZ67" s="32">
        <v>0.98511193707635836</v>
      </c>
      <c r="CA67" s="32">
        <v>0.99004983355367782</v>
      </c>
      <c r="CB67" s="32">
        <v>0.9950124790899999</v>
      </c>
      <c r="CC67" s="32">
        <v>1</v>
      </c>
      <c r="CD67" s="32"/>
      <c r="CE67" s="32">
        <v>1.8597995807939638E-4</v>
      </c>
      <c r="CF67" s="32">
        <v>9.9637430605703514E-5</v>
      </c>
      <c r="CG67" s="32">
        <v>4.6299271697802791E-5</v>
      </c>
      <c r="CH67" s="32">
        <v>1.7481839150512712E-5</v>
      </c>
      <c r="CI67" s="32">
        <v>4.8192260257429176E-6</v>
      </c>
      <c r="CJ67" s="32">
        <v>8.0375183603154099E-7</v>
      </c>
      <c r="CK67" s="32">
        <v>5.6702607775793723E-8</v>
      </c>
      <c r="CL67" s="32">
        <v>8.1376227978324778E-10</v>
      </c>
      <c r="CM67" s="32">
        <v>2.7215452114148775E-12</v>
      </c>
      <c r="CN67" s="32">
        <v>3.1552538359846949E-13</v>
      </c>
      <c r="CO67" s="32">
        <v>0</v>
      </c>
      <c r="CP67" s="32"/>
      <c r="CQ67" s="32">
        <v>1.7590617298411382E-3</v>
      </c>
      <c r="CR67" s="32">
        <v>8.0873223393287464E-4</v>
      </c>
      <c r="CS67" s="32">
        <v>3.1618839373753445E-4</v>
      </c>
      <c r="CT67" s="32">
        <v>9.8145863182893208E-5</v>
      </c>
      <c r="CU67" s="32">
        <v>2.1607323180519057E-5</v>
      </c>
      <c r="CV67" s="32">
        <v>2.7685793582776201E-6</v>
      </c>
      <c r="CW67" s="32">
        <v>1.4210548846907661E-7</v>
      </c>
      <c r="CX67" s="32">
        <v>1.3728123336957226E-9</v>
      </c>
      <c r="CY67" s="32">
        <v>5.4011521503574134E-13</v>
      </c>
      <c r="CZ67" s="32">
        <v>4.8992452246285238E-19</v>
      </c>
      <c r="DA67" s="32">
        <v>0</v>
      </c>
      <c r="DB67" s="32"/>
      <c r="DC67" s="32">
        <v>-1.652579124682593E-4</v>
      </c>
      <c r="DD67" s="32">
        <v>-8.6778510183386994E-5</v>
      </c>
      <c r="DE67" s="32">
        <v>-3.9341866565822627E-5</v>
      </c>
      <c r="DF67" s="32">
        <v>-1.4398441365312957E-5</v>
      </c>
      <c r="DG67" s="32">
        <v>-3.8104118977151095E-6</v>
      </c>
      <c r="DH67" s="32">
        <v>-6.0111815818886258E-7</v>
      </c>
      <c r="DI67" s="32">
        <v>-3.9173610704754949E-8</v>
      </c>
      <c r="DJ67" s="32">
        <v>-4.9768665622919706E-10</v>
      </c>
      <c r="DK67" s="32">
        <v>-2.6241681535963995E-13</v>
      </c>
      <c r="DL67" s="32">
        <v>-3.1077430383907035E-19</v>
      </c>
      <c r="DM67" s="32">
        <v>0</v>
      </c>
      <c r="DN67" s="32"/>
      <c r="DO67" s="32">
        <v>3.2537320643028514E-2</v>
      </c>
      <c r="DP67" s="32">
        <v>2.4930662480547476E-2</v>
      </c>
      <c r="DQ67" s="32">
        <v>1.7832208536735627E-2</v>
      </c>
      <c r="DR67" s="32">
        <v>1.1623627300115069E-2</v>
      </c>
      <c r="DS67" s="32">
        <v>6.6327032039454796E-3</v>
      </c>
      <c r="DT67" s="32">
        <v>3.0825260126409034E-3</v>
      </c>
      <c r="DU67" s="32">
        <v>1.0106126709848917E-3</v>
      </c>
      <c r="DV67" s="32">
        <v>1.6811365030170591E-4</v>
      </c>
      <c r="DW67" s="32">
        <v>5.6778707828314945E-6</v>
      </c>
      <c r="DX67" s="32">
        <v>2.0070814407198815E-9</v>
      </c>
      <c r="DY67" s="32">
        <v>0</v>
      </c>
      <c r="DZ67" s="32"/>
      <c r="EA67" s="32">
        <v>-2.2637217399736238E-3</v>
      </c>
      <c r="EB67" s="32">
        <v>-1.9112736462422886E-3</v>
      </c>
      <c r="EC67" s="32">
        <v>-1.5337832915546211E-3</v>
      </c>
      <c r="ED67" s="32">
        <v>-1.1455491200479569E-3</v>
      </c>
      <c r="EE67" s="32">
        <v>-7.6794948247138877E-4</v>
      </c>
      <c r="EF67" s="32">
        <v>-4.3239105551803772E-4</v>
      </c>
      <c r="EG67" s="32">
        <v>-1.7886023324487489E-4</v>
      </c>
      <c r="EH67" s="32">
        <v>-3.9841635264077155E-5</v>
      </c>
      <c r="EI67" s="32">
        <v>-1.9753391102097158E-6</v>
      </c>
      <c r="EJ67" s="32">
        <v>-1.1039874475529219E-9</v>
      </c>
      <c r="EK67" s="32">
        <v>0</v>
      </c>
      <c r="EL67" s="32"/>
      <c r="EM67" s="32">
        <v>28.147499551969254</v>
      </c>
      <c r="EN67" s="32">
        <v>28.418618338903361</v>
      </c>
      <c r="EO67" s="32">
        <v>28.660327398879765</v>
      </c>
      <c r="EP67" s="32">
        <v>28.875622348944049</v>
      </c>
      <c r="EQ67" s="32">
        <v>29.06794170761502</v>
      </c>
      <c r="ER67" s="32">
        <v>29.241438268422282</v>
      </c>
      <c r="ES67" s="32">
        <v>29.401135295688146</v>
      </c>
      <c r="ET67" s="32">
        <v>29.552722944797779</v>
      </c>
      <c r="EU67" s="32">
        <v>29.701478929999123</v>
      </c>
      <c r="EV67" s="32">
        <v>29.850374368501971</v>
      </c>
      <c r="EW67" s="32">
        <v>30</v>
      </c>
      <c r="EX67" s="32"/>
      <c r="EY67" s="32">
        <v>2.9857263563936698E-2</v>
      </c>
      <c r="EZ67" s="32">
        <v>2.2085517267440125E-2</v>
      </c>
      <c r="FA67" s="32">
        <v>1.5456609321965686E-2</v>
      </c>
      <c r="FB67" s="32">
        <v>9.9846261081761867E-3</v>
      </c>
      <c r="FC67" s="32">
        <v>5.7150965855186087E-3</v>
      </c>
      <c r="FD67" s="32">
        <v>2.6952869646663657E-3</v>
      </c>
      <c r="FE67" s="32">
        <v>9.0758334498453053E-4</v>
      </c>
      <c r="FF67" s="32">
        <v>1.57684971075156E-4</v>
      </c>
      <c r="FG67" s="32">
        <v>5.7518456451077782E-6</v>
      </c>
      <c r="FH67" s="32">
        <v>2.3373196711418132E-9</v>
      </c>
      <c r="FI67" s="32">
        <v>0</v>
      </c>
      <c r="FJ67" s="32"/>
      <c r="FK67" s="32">
        <v>0.38938316694965391</v>
      </c>
      <c r="FL67" s="32">
        <v>0.26130610046969072</v>
      </c>
      <c r="FM67" s="32">
        <v>0.16335576074088307</v>
      </c>
      <c r="FN67" s="32">
        <v>9.2540124703753529E-2</v>
      </c>
      <c r="FO67" s="32">
        <v>4.5424285846525303E-2</v>
      </c>
      <c r="FP67" s="32">
        <v>1.7859080759773431E-2</v>
      </c>
      <c r="FQ67" s="32">
        <v>4.8248934473417273E-3</v>
      </c>
      <c r="FR67" s="32">
        <v>6.3523515073298507E-4</v>
      </c>
      <c r="FS67" s="32">
        <v>1.6076642324303026E-5</v>
      </c>
      <c r="FT67" s="32">
        <v>4.198018037105393E-9</v>
      </c>
      <c r="FU67" s="32">
        <v>0</v>
      </c>
      <c r="FV67" s="32"/>
      <c r="FW67" s="32">
        <v>-2.9857262940960638E-2</v>
      </c>
      <c r="FX67" s="32">
        <v>-2.2085516689530932E-2</v>
      </c>
      <c r="FY67" s="32">
        <v>-1.5456608797392121E-2</v>
      </c>
      <c r="FZ67" s="32">
        <v>-9.9846256450689674E-3</v>
      </c>
      <c r="GA67" s="32">
        <v>-5.7150961917623276E-3</v>
      </c>
      <c r="GB67" s="32">
        <v>-2.6952866476240428E-3</v>
      </c>
      <c r="GC67" s="32">
        <v>-9.0758311083511409E-4</v>
      </c>
      <c r="GD67" s="32">
        <v>-1.5768482294415358E-4</v>
      </c>
      <c r="GE67" s="32">
        <v>-5.7517790063734416E-6</v>
      </c>
      <c r="GF67" s="32">
        <v>-2.3278535604180229E-9</v>
      </c>
      <c r="GG67" s="32">
        <v>0</v>
      </c>
      <c r="GH67" s="32"/>
      <c r="GI67" s="32">
        <v>52.307351949009103</v>
      </c>
      <c r="GJ67" s="32">
        <v>52.322617529919327</v>
      </c>
      <c r="GK67" s="32">
        <v>52.317556250057173</v>
      </c>
      <c r="GL67" s="32">
        <v>52.282132478553279</v>
      </c>
      <c r="GM67" s="32">
        <v>52.2056545173579</v>
      </c>
      <c r="GN67" s="32">
        <v>52.075451643209213</v>
      </c>
      <c r="GO67" s="32">
        <v>51.875504279570315</v>
      </c>
      <c r="GP67" s="32">
        <v>51.585264965862685</v>
      </c>
      <c r="GQ67" s="32">
        <v>51.179987627221884</v>
      </c>
      <c r="GR67" s="32">
        <v>50.639146544364792</v>
      </c>
      <c r="GS67" s="32">
        <v>50</v>
      </c>
      <c r="GT67" s="32"/>
      <c r="GU67" s="32">
        <v>0.76308240013335293</v>
      </c>
      <c r="GV67" s="32">
        <v>0.78764450885356752</v>
      </c>
      <c r="GW67" s="32">
        <v>0.81298201189060393</v>
      </c>
      <c r="GX67" s="32">
        <v>0.83927866730930489</v>
      </c>
      <c r="GY67" s="32">
        <v>0.86658651522774122</v>
      </c>
      <c r="GZ67" s="32">
        <v>0.89479982268263214</v>
      </c>
      <c r="HA67" s="32">
        <v>0.92358974427129326</v>
      </c>
      <c r="HB67" s="32">
        <v>0.9521942375801693</v>
      </c>
      <c r="HC67" s="32">
        <v>0.978607008771327</v>
      </c>
      <c r="HD67" s="32">
        <v>0.99696767910613815</v>
      </c>
      <c r="HE67" s="32">
        <v>1</v>
      </c>
      <c r="HF67" s="32"/>
      <c r="HG67" s="32">
        <v>0.23776176264967347</v>
      </c>
      <c r="HH67" s="32">
        <v>0.1766919531061556</v>
      </c>
      <c r="HI67" s="32">
        <v>0.12126856354357259</v>
      </c>
      <c r="HJ67" s="32">
        <v>7.4731616087603314E-2</v>
      </c>
      <c r="HK67" s="32">
        <v>3.9482543141715461E-2</v>
      </c>
      <c r="HL67" s="32">
        <v>1.6490429290299823E-2</v>
      </c>
      <c r="HM67" s="32">
        <v>4.6562846842452361E-3</v>
      </c>
      <c r="HN67" s="32">
        <v>6.2882637038707537E-4</v>
      </c>
      <c r="HO67" s="32">
        <v>1.6056470848078351E-5</v>
      </c>
      <c r="HP67" s="32">
        <v>4.1977758133712888E-9</v>
      </c>
      <c r="HQ67" s="32">
        <v>0</v>
      </c>
      <c r="HR67" s="32"/>
      <c r="HS67" s="32">
        <v>-1.6907523485293369E-2</v>
      </c>
      <c r="HT67" s="32">
        <v>-1.3949544030164365E-2</v>
      </c>
      <c r="HU67" s="32">
        <v>-1.0828201328573157E-2</v>
      </c>
      <c r="HV67" s="32">
        <v>-7.7049438805635237E-3</v>
      </c>
      <c r="HW67" s="32">
        <v>-4.811431710228093E-3</v>
      </c>
      <c r="HX67" s="32">
        <v>-2.4416196013490026E-3</v>
      </c>
      <c r="HY67" s="32">
        <v>-8.6817250606354649E-4</v>
      </c>
      <c r="HZ67" s="32">
        <v>-1.5570273469748907E-4</v>
      </c>
      <c r="IA67" s="32">
        <v>-5.7430707337305394E-6</v>
      </c>
      <c r="IB67" s="32">
        <v>-2.327707296551077E-9</v>
      </c>
      <c r="IC67" s="32">
        <v>0</v>
      </c>
    </row>
    <row r="68" spans="22:237" ht="20.350000000000001" customHeight="1" x14ac:dyDescent="0.45">
      <c r="V68" s="32">
        <f t="shared" si="2"/>
        <v>200</v>
      </c>
      <c r="W68" s="32">
        <v>95.122942450071406</v>
      </c>
      <c r="X68" s="32">
        <v>95.599748183309984</v>
      </c>
      <c r="Y68" s="32">
        <v>96.078943915232315</v>
      </c>
      <c r="Z68" s="32">
        <v>96.560541625756642</v>
      </c>
      <c r="AA68" s="32">
        <v>97.044553354850819</v>
      </c>
      <c r="AB68" s="32">
        <v>97.530991202833263</v>
      </c>
      <c r="AC68" s="32">
        <v>98.019867330675524</v>
      </c>
      <c r="AD68" s="32">
        <v>98.511193960306258</v>
      </c>
      <c r="AE68" s="32">
        <v>99.004983374916804</v>
      </c>
      <c r="AF68" s="32">
        <v>99.501247919268238</v>
      </c>
      <c r="AG68" s="32">
        <v>100</v>
      </c>
      <c r="AH68" s="32"/>
      <c r="AI68" s="32">
        <v>0.67854619770508862</v>
      </c>
      <c r="AJ68" s="32">
        <v>0.67992138832202897</v>
      </c>
      <c r="AK68" s="32">
        <v>0.68408209190820912</v>
      </c>
      <c r="AL68" s="32">
        <v>0.69132030137004108</v>
      </c>
      <c r="AM68" s="32">
        <v>0.7020321592836325</v>
      </c>
      <c r="AN68" s="32">
        <v>0.71680903415135333</v>
      </c>
      <c r="AO68" s="32">
        <v>0.73659683602922144</v>
      </c>
      <c r="AP68" s="32">
        <v>0.76303133967405756</v>
      </c>
      <c r="AQ68" s="32">
        <v>0.79933201466097614</v>
      </c>
      <c r="AR68" s="32">
        <v>0.85379240035102555</v>
      </c>
      <c r="AS68" s="32">
        <v>1</v>
      </c>
      <c r="AT68" s="32"/>
      <c r="AU68" s="32">
        <v>0</v>
      </c>
      <c r="AV68" s="32">
        <v>0</v>
      </c>
      <c r="AW68" s="32">
        <v>0</v>
      </c>
      <c r="AX68" s="32">
        <v>0</v>
      </c>
      <c r="AY68" s="32">
        <v>0</v>
      </c>
      <c r="AZ68" s="32">
        <v>0</v>
      </c>
      <c r="BA68" s="32">
        <v>0</v>
      </c>
      <c r="BB68" s="32">
        <v>0</v>
      </c>
      <c r="BC68" s="32">
        <v>0</v>
      </c>
      <c r="BD68" s="32">
        <v>0</v>
      </c>
      <c r="BE68" s="32">
        <v>0</v>
      </c>
      <c r="BF68" s="32"/>
      <c r="BG68" s="32">
        <v>-3.6725781299391162E-4</v>
      </c>
      <c r="BH68" s="32">
        <v>-1.2456468177282902E-4</v>
      </c>
      <c r="BI68" s="32">
        <v>-3.3776007699739592E-5</v>
      </c>
      <c r="BJ68" s="32">
        <v>-6.6432178756073132E-6</v>
      </c>
      <c r="BK68" s="32">
        <v>-8.0993926715072517E-7</v>
      </c>
      <c r="BL68" s="32">
        <v>-4.6784579766473192E-8</v>
      </c>
      <c r="BM68" s="32">
        <v>-7.8878849859463706E-10</v>
      </c>
      <c r="BN68" s="32">
        <v>-1.5947405718717758E-12</v>
      </c>
      <c r="BO68" s="32">
        <v>-8.2778646391409821E-17</v>
      </c>
      <c r="BP68" s="32">
        <v>-8.1884121980220032E-24</v>
      </c>
      <c r="BQ68" s="32">
        <v>0</v>
      </c>
      <c r="BR68" s="32"/>
      <c r="BS68" s="32">
        <v>0.95122942450071402</v>
      </c>
      <c r="BT68" s="32">
        <v>0.95599748183309985</v>
      </c>
      <c r="BU68" s="32">
        <v>0.96078943915232318</v>
      </c>
      <c r="BV68" s="32">
        <v>0.96560541625756646</v>
      </c>
      <c r="BW68" s="32">
        <v>0.97044553354850815</v>
      </c>
      <c r="BX68" s="32">
        <v>0.97530991202833262</v>
      </c>
      <c r="BY68" s="32">
        <v>0.98019867330675525</v>
      </c>
      <c r="BZ68" s="32">
        <v>0.98511193960306265</v>
      </c>
      <c r="CA68" s="32">
        <v>0.99004983374916811</v>
      </c>
      <c r="CB68" s="32">
        <v>0.99501247919268232</v>
      </c>
      <c r="CC68" s="32">
        <v>1</v>
      </c>
      <c r="CD68" s="32"/>
      <c r="CE68" s="32">
        <v>6.0583591232510337E-5</v>
      </c>
      <c r="CF68" s="32">
        <v>2.4120542672645406E-5</v>
      </c>
      <c r="CG68" s="32">
        <v>7.7528891073708195E-6</v>
      </c>
      <c r="CH68" s="32">
        <v>1.8338013628715899E-6</v>
      </c>
      <c r="CI68" s="32">
        <v>2.7439267302753478E-7</v>
      </c>
      <c r="CJ68" s="32">
        <v>2.002017984725768E-8</v>
      </c>
      <c r="CK68" s="32">
        <v>4.6720149970980174E-10</v>
      </c>
      <c r="CL68" s="32">
        <v>2.5638713374576128E-11</v>
      </c>
      <c r="CM68" s="32">
        <v>2.0764612251866765E-11</v>
      </c>
      <c r="CN68" s="32">
        <v>1.5180079415699765E-11</v>
      </c>
      <c r="CO68" s="32">
        <v>0</v>
      </c>
      <c r="CP68" s="32"/>
      <c r="CQ68" s="32">
        <v>0</v>
      </c>
      <c r="CR68" s="32">
        <v>0</v>
      </c>
      <c r="CS68" s="32">
        <v>0</v>
      </c>
      <c r="CT68" s="32">
        <v>0</v>
      </c>
      <c r="CU68" s="32">
        <v>0</v>
      </c>
      <c r="CV68" s="32">
        <v>0</v>
      </c>
      <c r="CW68" s="32">
        <v>0</v>
      </c>
      <c r="CX68" s="32">
        <v>0</v>
      </c>
      <c r="CY68" s="32">
        <v>0</v>
      </c>
      <c r="CZ68" s="32">
        <v>0</v>
      </c>
      <c r="DA68" s="32">
        <v>0</v>
      </c>
      <c r="DB68" s="32"/>
      <c r="DC68" s="32">
        <v>-5.2759574812738221E-5</v>
      </c>
      <c r="DD68" s="32">
        <v>-2.0499251791480242E-5</v>
      </c>
      <c r="DE68" s="32">
        <v>-6.3955974057210072E-6</v>
      </c>
      <c r="DF68" s="32">
        <v>-1.4572504068178456E-6</v>
      </c>
      <c r="DG68" s="32">
        <v>-2.0772744537085497E-7</v>
      </c>
      <c r="DH68" s="32">
        <v>-1.4186154713683841E-8</v>
      </c>
      <c r="DI68" s="32">
        <v>-2.8574282753351454E-10</v>
      </c>
      <c r="DJ68" s="32">
        <v>-6.9129276922714363E-13</v>
      </c>
      <c r="DK68" s="32">
        <v>-4.2130690435945631E-17</v>
      </c>
      <c r="DL68" s="32">
        <v>-4.7207158575158908E-24</v>
      </c>
      <c r="DM68" s="32">
        <v>0</v>
      </c>
      <c r="DN68" s="32"/>
      <c r="DO68" s="32">
        <v>0</v>
      </c>
      <c r="DP68" s="32">
        <v>0</v>
      </c>
      <c r="DQ68" s="32">
        <v>0</v>
      </c>
      <c r="DR68" s="32">
        <v>0</v>
      </c>
      <c r="DS68" s="32">
        <v>0</v>
      </c>
      <c r="DT68" s="32">
        <v>0</v>
      </c>
      <c r="DU68" s="32">
        <v>0</v>
      </c>
      <c r="DV68" s="32">
        <v>0</v>
      </c>
      <c r="DW68" s="32">
        <v>0</v>
      </c>
      <c r="DX68" s="32">
        <v>0</v>
      </c>
      <c r="DY68" s="32">
        <v>0</v>
      </c>
      <c r="DZ68" s="32"/>
      <c r="EA68" s="32">
        <v>-1.2774491036808961E-3</v>
      </c>
      <c r="EB68" s="32">
        <v>-8.9868592391531056E-4</v>
      </c>
      <c r="EC68" s="32">
        <v>-5.7280662282871105E-4</v>
      </c>
      <c r="ED68" s="32">
        <v>-3.1799334269896228E-4</v>
      </c>
      <c r="EE68" s="32">
        <v>-1.4382424938383473E-4</v>
      </c>
      <c r="EF68" s="32">
        <v>-4.6952905740110998E-5</v>
      </c>
      <c r="EG68" s="32">
        <v>-8.697876496231736E-6</v>
      </c>
      <c r="EH68" s="32">
        <v>-5.3413711709495638E-7</v>
      </c>
      <c r="EI68" s="32">
        <v>-2.845343938115758E-9</v>
      </c>
      <c r="EJ68" s="32">
        <v>-5.285365002712347E-14</v>
      </c>
      <c r="EK68" s="32">
        <v>0</v>
      </c>
      <c r="EL68" s="32"/>
      <c r="EM68" s="32">
        <v>28.536882735021422</v>
      </c>
      <c r="EN68" s="32">
        <v>28.679924454992996</v>
      </c>
      <c r="EO68" s="32">
        <v>28.823683174569695</v>
      </c>
      <c r="EP68" s="32">
        <v>28.968162487726993</v>
      </c>
      <c r="EQ68" s="32">
        <v>29.113366006455244</v>
      </c>
      <c r="ER68" s="32">
        <v>29.259297360849978</v>
      </c>
      <c r="ES68" s="32">
        <v>29.405960199202656</v>
      </c>
      <c r="ET68" s="32">
        <v>29.553358188091881</v>
      </c>
      <c r="EU68" s="32">
        <v>29.701495012475043</v>
      </c>
      <c r="EV68" s="32">
        <v>29.850374375780468</v>
      </c>
      <c r="EW68" s="32">
        <v>30</v>
      </c>
      <c r="EX68" s="32"/>
      <c r="EY68" s="32">
        <v>1.4192173101569949E-2</v>
      </c>
      <c r="EZ68" s="32">
        <v>8.6565912191076677E-3</v>
      </c>
      <c r="FA68" s="32">
        <v>4.7687335879693649E-3</v>
      </c>
      <c r="FB68" s="32">
        <v>2.2724408660828033E-3</v>
      </c>
      <c r="FC68" s="32">
        <v>8.7225871314799974E-4</v>
      </c>
      <c r="FD68" s="32">
        <v>2.3754027357725249E-4</v>
      </c>
      <c r="FE68" s="32">
        <v>3.581323404588943E-5</v>
      </c>
      <c r="FF68" s="32">
        <v>1.7344374434458132E-6</v>
      </c>
      <c r="FG68" s="32">
        <v>7.7347728222321166E-9</v>
      </c>
      <c r="FH68" s="32">
        <v>4.5550407890004863E-10</v>
      </c>
      <c r="FI68" s="32">
        <v>0</v>
      </c>
      <c r="FJ68" s="32"/>
      <c r="FK68" s="32">
        <v>0</v>
      </c>
      <c r="FL68" s="32">
        <v>0</v>
      </c>
      <c r="FM68" s="32">
        <v>0</v>
      </c>
      <c r="FN68" s="32">
        <v>0</v>
      </c>
      <c r="FO68" s="32">
        <v>0</v>
      </c>
      <c r="FP68" s="32">
        <v>0</v>
      </c>
      <c r="FQ68" s="32">
        <v>0</v>
      </c>
      <c r="FR68" s="32">
        <v>0</v>
      </c>
      <c r="FS68" s="32">
        <v>0</v>
      </c>
      <c r="FT68" s="32">
        <v>0</v>
      </c>
      <c r="FU68" s="32">
        <v>0</v>
      </c>
      <c r="FV68" s="32"/>
      <c r="FW68" s="32">
        <v>-1.419217213043282E-2</v>
      </c>
      <c r="FX68" s="32">
        <v>-8.6565902484404909E-3</v>
      </c>
      <c r="FY68" s="32">
        <v>-4.7687326266454052E-3</v>
      </c>
      <c r="FZ68" s="32">
        <v>-2.2724399236649616E-3</v>
      </c>
      <c r="GA68" s="32">
        <v>-8.7225780045581793E-4</v>
      </c>
      <c r="GB68" s="32">
        <v>-2.3753940327363599E-4</v>
      </c>
      <c r="GC68" s="32">
        <v>-3.5812421840367855E-5</v>
      </c>
      <c r="GD68" s="32">
        <v>-1.7337042980320455E-6</v>
      </c>
      <c r="GE68" s="32">
        <v>-7.1118364697051142E-9</v>
      </c>
      <c r="GF68" s="32">
        <v>-1.051923214335045E-13</v>
      </c>
      <c r="GG68" s="32">
        <v>0</v>
      </c>
      <c r="GH68" s="32"/>
      <c r="GI68" s="32">
        <v>66.586059715049984</v>
      </c>
      <c r="GJ68" s="32">
        <v>66.919823728316985</v>
      </c>
      <c r="GK68" s="32">
        <v>67.255260740662621</v>
      </c>
      <c r="GL68" s="32">
        <v>67.592379138029656</v>
      </c>
      <c r="GM68" s="32">
        <v>67.931187348395568</v>
      </c>
      <c r="GN68" s="32">
        <v>68.271693841983279</v>
      </c>
      <c r="GO68" s="32">
        <v>68.613907131472871</v>
      </c>
      <c r="GP68" s="32">
        <v>68.957835772214381</v>
      </c>
      <c r="GQ68" s="32">
        <v>69.303488362441769</v>
      </c>
      <c r="GR68" s="32">
        <v>69.650873543487762</v>
      </c>
      <c r="GS68" s="32">
        <v>70</v>
      </c>
      <c r="GT68" s="32"/>
      <c r="GU68" s="32">
        <v>0.66398676679050084</v>
      </c>
      <c r="GV68" s="32">
        <v>0.67114023242115195</v>
      </c>
      <c r="GW68" s="32">
        <v>0.67927958231250329</v>
      </c>
      <c r="GX68" s="32">
        <v>0.68904121728607493</v>
      </c>
      <c r="GY68" s="32">
        <v>0.70115909063120796</v>
      </c>
      <c r="GZ68" s="32">
        <v>0.71657144709320164</v>
      </c>
      <c r="HA68" s="32">
        <v>0.73656102200644114</v>
      </c>
      <c r="HB68" s="32">
        <v>0.76302960523500474</v>
      </c>
      <c r="HC68" s="32">
        <v>0.79933200692620687</v>
      </c>
      <c r="HD68" s="32">
        <v>0.85379239989553923</v>
      </c>
      <c r="HE68" s="32">
        <v>1</v>
      </c>
      <c r="HF68" s="32"/>
      <c r="HG68" s="32">
        <v>0</v>
      </c>
      <c r="HH68" s="32">
        <v>0</v>
      </c>
      <c r="HI68" s="32">
        <v>0</v>
      </c>
      <c r="HJ68" s="32">
        <v>0</v>
      </c>
      <c r="HK68" s="32">
        <v>0</v>
      </c>
      <c r="HL68" s="32">
        <v>0</v>
      </c>
      <c r="HM68" s="32">
        <v>0</v>
      </c>
      <c r="HN68" s="32">
        <v>0</v>
      </c>
      <c r="HO68" s="32">
        <v>0</v>
      </c>
      <c r="HP68" s="32">
        <v>0</v>
      </c>
      <c r="HQ68" s="32">
        <v>0</v>
      </c>
      <c r="HR68" s="32"/>
      <c r="HS68" s="32">
        <v>-9.1783845857333572E-3</v>
      </c>
      <c r="HT68" s="32">
        <v>-6.2065166707880315E-3</v>
      </c>
      <c r="HU68" s="32">
        <v>-3.7481670359262053E-3</v>
      </c>
      <c r="HV68" s="32">
        <v>-1.9337330379403219E-3</v>
      </c>
      <c r="HW68" s="32">
        <v>-7.9204911452954174E-4</v>
      </c>
      <c r="HX68" s="32">
        <v>-2.2636206420789383E-4</v>
      </c>
      <c r="HY68" s="32">
        <v>-3.5175865260849726E-5</v>
      </c>
      <c r="HZ68" s="32">
        <v>-1.7266680859663158E-6</v>
      </c>
      <c r="IA68" s="32">
        <v>-7.1085905416786204E-9</v>
      </c>
      <c r="IB68" s="32">
        <v>-1.0518893620359509E-13</v>
      </c>
      <c r="IC68" s="32">
        <v>0</v>
      </c>
    </row>
  </sheetData>
  <dataValidations count="1">
    <dataValidation type="list" allowBlank="1" showInputMessage="1" showErrorMessage="1" sqref="B3 B40" xr:uid="{3746F065-2E09-4F2C-B233-B33E1E60C787}">
      <formula1>$R$2:$R$10</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0BBF32-2395-4205-8D62-EBD06E1FED2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Opt</vt:lpstr>
      <vt:lpstr>Val</vt:lpstr>
      <vt:lpstr>Delta</vt:lpstr>
      <vt:lpstr>Bond</vt:lpstr>
      <vt:lpstr>VolLoc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manuel griseri</dc:creator>
  <cp:lastModifiedBy>manuel griseri</cp:lastModifiedBy>
  <dcterms:created xsi:type="dcterms:W3CDTF">2025-06-11T11:21:04Z</dcterms:created>
  <dcterms:modified xsi:type="dcterms:W3CDTF">2025-08-31T12:57:14Z</dcterms:modified>
</cp:coreProperties>
</file>